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drawings/charts/chart2.xml" ContentType="application/vnd.openxmlformats-officedocument.drawingml.chart+xml"/>
  <Override PartName="/xl/drawings/charts/chart3.xml" ContentType="application/vnd.openxmlformats-officedocument.drawingml.chart+xml"/>
  <Override PartName="/xl/drawings/charts/chart4.xml" ContentType="application/vnd.openxmlformats-officedocument.drawingml.char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4198d292d9e44993" /></Relationships>
</file>

<file path=xl/workbook.xml><?xml version="1.0" encoding="utf-8"?>
<x:workbook xmlns:x="http://schemas.openxmlformats.org/spreadsheetml/2006/main">
  <x:sheets>
    <x:sheet xmlns:r="http://schemas.openxmlformats.org/officeDocument/2006/relationships" name="Dashboard" sheetId="1" r:id="R4ceb5fff31e348a3"/>
    <x:sheet xmlns:r="http://schemas.openxmlformats.org/officeDocument/2006/relationships" name="Source Metrics" sheetId="2" r:id="Ra8dc244cc16c4f80"/>
    <x:sheet xmlns:r="http://schemas.openxmlformats.org/officeDocument/2006/relationships" name="Province Context" sheetId="3" r:id="Rf962dbbf56314175"/>
    <x:sheet xmlns:r="http://schemas.openxmlformats.org/officeDocument/2006/relationships" name="Sources" sheetId="4" r:id="R2ab07129a54c4982"/>
    <x:sheet xmlns:r="http://schemas.openxmlformats.org/officeDocument/2006/relationships" name="Method" sheetId="5" r:id="R5f7f72f718974121"/>
  </x:sheets>
</x:workbook>
</file>

<file path=xl/sharedStrings.xml><?xml version="1.0" encoding="utf-8"?>
<x:sst xmlns:x="http://schemas.openxmlformats.org/spreadsheetml/2006/main"/>
</file>

<file path=xl/styles.xml><?xml version="1.0" encoding="utf-8"?>
<x:styleSheet xmlns:x="http://schemas.openxmlformats.org/spreadsheetml/2006/main">
  <x:numFmts count="3">
    <x:numFmt numFmtId="200" formatCode="0.0"/>
    <x:numFmt numFmtId="201" formatCode="0&quot;k&quot;"/>
    <x:numFmt numFmtId="202" formatCode="0.0%"/>
  </x:numFmts>
  <x:fonts count="22">
    <x:font>
      <x:sz val="11"/>
      <x:name val="Carlito"/>
    </x:font>
    <x:font>
      <x:b/>
      <x:sz val="10"/>
      <x:color rgb="FFFFFFFF"/>
      <x:name val="Carlito"/>
    </x:font>
    <x:font>
      <x:sz val="9"/>
      <x:name val="Carlito"/>
    </x:font>
    <x:font>
      <x:b/>
      <x:sz val="11"/>
      <x:color rgb="FFFFFFFF"/>
      <x:name val="Carlito"/>
    </x:font>
    <x:font>
      <x:b/>
      <x:sz val="18"/>
      <x:color rgb="FFFFFFFF"/>
      <x:name val="Carlito"/>
    </x:font>
    <x:font>
      <x:b/>
      <x:sz val="11"/>
      <x:color rgb="FF16304F"/>
      <x:name val="Carlito"/>
    </x:font>
    <x:font>
      <x:sz val="10"/>
      <x:color rgb="FF17273B"/>
      <x:name val="Carlito"/>
    </x:font>
    <x:font>
      <x:b/>
      <x:sz val="23"/>
      <x:color rgb="FFFFFFFF"/>
      <x:name val="Carlito"/>
    </x:font>
    <x:font>
      <x:i/>
      <x:sz val="11"/>
      <x:color rgb="FF42556C"/>
      <x:name val="Carlito"/>
    </x:font>
    <x:font>
      <x:b/>
      <x:sz val="9"/>
      <x:color rgb="FF697586"/>
      <x:name val="Carlito"/>
    </x:font>
    <x:font>
      <x:b/>
      <x:sz val="24"/>
      <x:color rgb="FFF26B5B"/>
      <x:name val="Carlito"/>
    </x:font>
    <x:font>
      <x:b/>
      <x:sz val="24"/>
      <x:color rgb="FFF0B44D"/>
      <x:name val="Carlito"/>
    </x:font>
    <x:font>
      <x:b/>
      <x:sz val="24"/>
      <x:color rgb="FF1FA7A5"/>
      <x:name val="Carlito"/>
    </x:font>
    <x:font>
      <x:b/>
      <x:sz val="24"/>
      <x:color rgb="FF6C63FF"/>
      <x:name val="Carlito"/>
    </x:font>
    <x:font>
      <x:b/>
      <x:sz val="14"/>
      <x:color rgb="FF17273B"/>
      <x:name val="Carlito"/>
    </x:font>
    <x:font>
      <x:sz val="11"/>
      <x:color rgb="FFFFFFFF"/>
      <x:name val="Carlito"/>
    </x:font>
    <x:font>
      <x:sz val="12"/>
      <x:color rgb="FF1F5A57"/>
      <x:name val="Carlito"/>
    </x:font>
    <x:font>
      <x:sz val="12"/>
      <x:color rgb="FF7D4939"/>
      <x:name val="Carlito"/>
    </x:font>
    <x:font>
      <x:i/>
      <x:sz val="9"/>
      <x:color rgb="FF697586"/>
      <x:name val="Carlito"/>
    </x:font>
    <x:font>
      <x:i/>
      <x:sz val="8"/>
      <x:color rgb="FF697586"/>
      <x:name val="Carlito"/>
    </x:font>
    <x:font>
      <x:b/>
      <x:sz val="11"/>
      <x:color rgb="FF17273B"/>
      <x:name val="Carlito"/>
    </x:font>
    <x:font>
      <x:sz val="9"/>
      <x:color rgb="FF697586"/>
      <x:name val="Carlito"/>
    </x:font>
  </x:fonts>
  <x:fills count="15">
    <x:fill>
      <x:patternFill patternType="none"/>
    </x:fill>
    <x:fill>
      <x:patternFill patternType="gray125"/>
    </x:fill>
    <x:fill>
      <x:patternFill patternType="solid">
        <x:fgColor rgb="FF16304F"/>
      </x:patternFill>
    </x:fill>
    <x:fill>
      <x:patternFill patternType="solid">
        <x:fgColor rgb="FFE9F4F3"/>
      </x:patternFill>
    </x:fill>
    <x:fill>
      <x:patternFill patternType="solid">
        <x:fgColor rgb="FFF8F6F2"/>
      </x:patternFill>
    </x:fill>
    <x:fill>
      <x:patternFill patternType="solid">
        <x:fgColor rgb="FFEAF0F5"/>
      </x:patternFill>
    </x:fill>
    <x:fill>
      <x:patternFill patternType="solid">
        <x:fgColor rgb="FFFFFFFF"/>
      </x:patternFill>
    </x:fill>
    <x:fill>
      <x:patternFill patternType="solid">
        <x:fgColor rgb="FF173B5B"/>
      </x:patternFill>
    </x:fill>
    <x:fill>
      <x:patternFill patternType="solid">
        <x:fgColor rgb="FFE8F5F2"/>
      </x:patternFill>
    </x:fill>
    <x:fill>
      <x:patternFill patternType="solid">
        <x:fgColor rgb="FFFFF1E8"/>
      </x:patternFill>
    </x:fill>
    <x:fill>
      <x:patternFill patternType="solid">
        <x:fgColor rgb="FFFFFFFF"/>
      </x:patternFill>
    </x:fill>
    <x:fill>
      <x:patternFill patternType="solid">
        <x:fgColor rgb="FFF4BC98"/>
      </x:patternFill>
    </x:fill>
    <x:fill>
      <x:patternFill patternType="solid">
        <x:fgColor rgb="FFF29E8E"/>
      </x:patternFill>
    </x:fill>
    <x:fill>
      <x:patternFill patternType="solid">
        <x:fgColor rgb="FFBFE7D9"/>
      </x:patternFill>
    </x:fill>
    <x:fill>
      <x:patternFill patternType="solid">
        <x:fgColor rgb="FFF7D59D"/>
      </x:patternFill>
    </x:fill>
  </x:fills>
  <x:borders count="2">
    <x:border/>
    <x:border/>
  </x:borders>
  <x:cellStyleXfs count="1">
    <x:xf numFmtId="0" fontId="0" fillId="0" borderId="0"/>
  </x:cellStyleXfs>
  <x:cellXfs count="170">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1" fillId="2" borderId="0" xfId="0" applyNumberFormat="1" applyFont="1" applyFill="1" applyBorder="1" applyAlignment="1">
      <x:alignment horizontal="center" vertical="center" wrapText="1"/>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0" fontId="1" fillId="2" borderId="1" xfId="0" applyNumberFormat="1" applyFont="1" applyFill="1" applyBorder="1" applyAlignment="1">
      <x:alignment horizontal="center" wrapText="1"/>
    </x:xf>
    <x:xf numFmtId="0" fontId="1" fillId="2" borderId="1" xfId="0" applyNumberFormat="1" applyFont="1" applyFill="1" applyBorder="1" applyAlignment="1">
      <x:alignment horizontal="center" vertical="center" wrapText="1"/>
    </x:xf>
    <x:xf numFmtId="0" fontId="2" fillId="0" borderId="0" xfId="0" applyNumberFormat="1" applyFont="1" applyFill="1" applyBorder="1"/>
    <x:xf numFmtId="0" fontId="2" fillId="0" borderId="0" xfId="0" applyNumberFormat="1" applyFont="1" applyFill="1" applyBorder="1" applyAlignment="1">
      <x:alignment wrapText="1"/>
    </x:xf>
    <x:xf numFmtId="0" fontId="2" fillId="0" borderId="0" xfId="0" applyNumberFormat="1" applyFont="1" applyFill="1" applyBorder="1" applyAlignment="1">
      <x:alignment vertical="top" wrapText="1"/>
    </x:xf>
    <x:xf numFmtId="0" fontId="2" fillId="0" borderId="1" xfId="0" applyNumberFormat="1" applyFont="1" applyFill="1" applyBorder="1"/>
    <x:xf numFmtId="0" fontId="2" fillId="0" borderId="1" xfId="0" applyNumberFormat="1" applyFont="1" applyFill="1" applyBorder="1" applyAlignment="1">
      <x:alignment wrapText="1"/>
    </x:xf>
    <x:xf numFmtId="0" fontId="2" fillId="0" borderId="1" xfId="0" applyNumberFormat="1" applyFont="1" applyFill="1" applyBorder="1" applyAlignment="1">
      <x:alignment vertical="top" wrapText="1"/>
    </x:xf>
    <x:xf numFmtId="200" fontId="2" fillId="0" borderId="0" xfId="0" applyNumberFormat="1" applyFont="1" applyFill="1" applyBorder="1" applyAlignment="1">
      <x:alignment vertical="top" wrapText="1"/>
    </x:xf>
    <x:xf numFmtId="200" fontId="2" fillId="0" borderId="1" xfId="0" applyNumberFormat="1" applyFont="1" applyFill="1" applyBorder="1" applyAlignment="1">
      <x:alignment vertical="top" wrapText="1"/>
    </x:xf>
    <x:xf numFmtId="0" fontId="3" fillId="2" borderId="0" xfId="0" applyNumberFormat="1" applyFont="1" applyFill="1" applyBorder="1"/>
    <x:xf numFmtId="0" fontId="3" fillId="2" borderId="0" xfId="0" applyNumberFormat="1" applyFont="1" applyFill="1" applyBorder="1" applyAlignment="1">
      <x:alignment wrapText="1"/>
    </x:xf>
    <x:xf numFmtId="0" fontId="3" fillId="2" borderId="1" xfId="0" applyNumberFormat="1" applyFont="1" applyFill="1" applyBorder="1"/>
    <x:xf numFmtId="0" fontId="3" fillId="2" borderId="1" xfId="0" applyNumberFormat="1" applyFont="1" applyFill="1" applyBorder="1" applyAlignment="1">
      <x:alignment wrapText="1"/>
    </x:xf>
    <x:xf numFmtId="201" fontId="2" fillId="0" borderId="0" xfId="0" applyNumberFormat="1" applyFont="1" applyFill="1" applyBorder="1" applyAlignment="1">
      <x:alignment wrapText="1"/>
    </x:xf>
    <x:xf numFmtId="201" fontId="2" fillId="0" borderId="1" xfId="0" applyNumberFormat="1" applyFont="1" applyFill="1" applyBorder="1" applyAlignment="1">
      <x:alignment wrapText="1"/>
    </x:xf>
    <x:xf numFmtId="0" fontId="4" fillId="2" borderId="0" xfId="0" applyNumberFormat="1" applyFont="1" applyFill="1" applyBorder="1"/>
    <x:xf numFmtId="0" fontId="4" fillId="2" borderId="0" xfId="0" applyNumberFormat="1" applyFont="1" applyFill="1" applyBorder="1" applyAlignment="1">
      <x:alignment vertical="center"/>
    </x:xf>
    <x:xf numFmtId="0" fontId="4" fillId="2" borderId="1" xfId="0" applyNumberFormat="1" applyFont="1" applyFill="1" applyBorder="1"/>
    <x:xf numFmtId="0" fontId="4" fillId="2" borderId="1" xfId="0" applyNumberFormat="1" applyFont="1" applyFill="1" applyBorder="1" applyAlignment="1">
      <x:alignment vertical="center"/>
    </x:xf>
    <x:xf numFmtId="0" fontId="0" fillId="3" borderId="0" xfId="0" applyNumberFormat="1" applyFont="1" applyFill="1" applyBorder="1"/>
    <x:xf numFmtId="0" fontId="5" fillId="3" borderId="0" xfId="0" applyNumberFormat="1" applyFont="1" applyFill="1" applyBorder="1"/>
    <x:xf numFmtId="0" fontId="5" fillId="3" borderId="0" xfId="0" applyNumberFormat="1" applyFont="1" applyFill="1" applyBorder="1" applyAlignment="1">
      <x:alignment vertical="top"/>
    </x:xf>
    <x:xf numFmtId="0" fontId="0" fillId="3" borderId="1" xfId="0" applyNumberFormat="1" applyFont="1" applyFill="1" applyBorder="1"/>
    <x:xf numFmtId="0" fontId="5" fillId="3" borderId="1" xfId="0" applyNumberFormat="1" applyFont="1" applyFill="1" applyBorder="1"/>
    <x:xf numFmtId="0" fontId="5" fillId="3" borderId="1" xfId="0" applyNumberFormat="1" applyFont="1" applyFill="1" applyBorder="1" applyAlignment="1">
      <x:alignment vertical="top"/>
    </x:xf>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wrapText="1"/>
    </x:xf>
    <x:xf numFmtId="0" fontId="0" fillId="0" borderId="1" xfId="0" applyNumberFormat="1" applyFont="1" applyFill="1" applyBorder="1" applyAlignment="1">
      <x:alignment vertical="top" wrapText="1"/>
    </x:xf>
    <x:xf numFmtId="0" fontId="0" fillId="4" borderId="0" xfId="0" applyNumberFormat="1" applyFont="1" applyFill="1" applyBorder="1"/>
    <x:xf numFmtId="0" fontId="6" fillId="4" borderId="0" xfId="0" applyNumberFormat="1" applyFont="1" applyFill="1" applyBorder="1"/>
    <x:xf numFmtId="0" fontId="0" fillId="4" borderId="1" xfId="0" applyNumberFormat="1" applyFont="1" applyFill="1" applyBorder="1"/>
    <x:xf numFmtId="0" fontId="6" fillId="4" borderId="1" xfId="0" applyNumberFormat="1" applyFont="1" applyFill="1" applyBorder="1"/>
    <x:xf numFmtId="0" fontId="6" fillId="2" borderId="0" xfId="0" applyNumberFormat="1" applyFont="1" applyFill="1" applyBorder="1"/>
    <x:xf numFmtId="0" fontId="7" fillId="2" borderId="0" xfId="0" applyNumberFormat="1" applyFont="1" applyFill="1" applyBorder="1"/>
    <x:xf numFmtId="0" fontId="7" fillId="2" borderId="0" xfId="0" applyNumberFormat="1" applyFont="1" applyFill="1" applyBorder="1" applyAlignment="1">
      <x:alignment horizontal="left"/>
    </x:xf>
    <x:xf numFmtId="0" fontId="7" fillId="2" borderId="0" xfId="0" applyNumberFormat="1" applyFont="1" applyFill="1" applyBorder="1" applyAlignment="1">
      <x:alignment horizontal="left" vertical="center"/>
    </x:xf>
    <x:xf numFmtId="0" fontId="6" fillId="2" borderId="1" xfId="0" applyNumberFormat="1" applyFont="1" applyFill="1" applyBorder="1"/>
    <x:xf numFmtId="0" fontId="7" fillId="2" borderId="1" xfId="0" applyNumberFormat="1" applyFont="1" applyFill="1" applyBorder="1"/>
    <x:xf numFmtId="0" fontId="7" fillId="2" borderId="1" xfId="0" applyNumberFormat="1" applyFont="1" applyFill="1" applyBorder="1" applyAlignment="1">
      <x:alignment horizontal="left"/>
    </x:xf>
    <x:xf numFmtId="0" fontId="7" fillId="2" borderId="1" xfId="0" applyNumberFormat="1" applyFont="1" applyFill="1" applyBorder="1" applyAlignment="1">
      <x:alignment horizontal="left" vertical="center"/>
    </x:xf>
    <x:xf numFmtId="0" fontId="6" fillId="5" borderId="0" xfId="0" applyNumberFormat="1" applyFont="1" applyFill="1" applyBorder="1"/>
    <x:xf numFmtId="0" fontId="8" fillId="5" borderId="0" xfId="0" applyNumberFormat="1" applyFont="1" applyFill="1" applyBorder="1"/>
    <x:xf numFmtId="0" fontId="8" fillId="5" borderId="0" xfId="0" applyNumberFormat="1" applyFont="1" applyFill="1" applyBorder="1" applyAlignment="1">
      <x:alignment wrapText="1"/>
    </x:xf>
    <x:xf numFmtId="0" fontId="8" fillId="5" borderId="0" xfId="0" applyNumberFormat="1" applyFont="1" applyFill="1" applyBorder="1" applyAlignment="1">
      <x:alignment vertical="center" wrapText="1"/>
    </x:xf>
    <x:xf numFmtId="0" fontId="6" fillId="5" borderId="1" xfId="0" applyNumberFormat="1" applyFont="1" applyFill="1" applyBorder="1"/>
    <x:xf numFmtId="0" fontId="8" fillId="5" borderId="1" xfId="0" applyNumberFormat="1" applyFont="1" applyFill="1" applyBorder="1"/>
    <x:xf numFmtId="0" fontId="8" fillId="5" borderId="1" xfId="0" applyNumberFormat="1" applyFont="1" applyFill="1" applyBorder="1" applyAlignment="1">
      <x:alignment wrapText="1"/>
    </x:xf>
    <x:xf numFmtId="0" fontId="8" fillId="5" borderId="1" xfId="0" applyNumberFormat="1" applyFont="1" applyFill="1" applyBorder="1" applyAlignment="1">
      <x:alignment vertical="center" wrapText="1"/>
    </x:xf>
    <x:xf numFmtId="0" fontId="6" fillId="6" borderId="0" xfId="0" applyNumberFormat="1" applyFont="1" applyFill="1" applyBorder="1"/>
    <x:xf numFmtId="0" fontId="6" fillId="6" borderId="1" xfId="0" applyNumberFormat="1" applyFont="1" applyFill="1" applyBorder="1"/>
    <x:xf numFmtId="0" fontId="9" fillId="6" borderId="0" xfId="0" applyNumberFormat="1" applyFont="1" applyFill="1" applyBorder="1"/>
    <x:xf numFmtId="0" fontId="9" fillId="6" borderId="0" xfId="0" applyNumberFormat="1" applyFont="1" applyFill="1" applyBorder="1" applyAlignment="1">
      <x:alignment wrapText="1"/>
    </x:xf>
    <x:xf numFmtId="0" fontId="9" fillId="6" borderId="0" xfId="0" applyNumberFormat="1" applyFont="1" applyFill="1" applyBorder="1" applyAlignment="1">
      <x:alignment vertical="center" wrapText="1"/>
    </x:xf>
    <x:xf numFmtId="0" fontId="9" fillId="6" borderId="1" xfId="0" applyNumberFormat="1" applyFont="1" applyFill="1" applyBorder="1"/>
    <x:xf numFmtId="0" fontId="9" fillId="6" borderId="1" xfId="0" applyNumberFormat="1" applyFont="1" applyFill="1" applyBorder="1" applyAlignment="1">
      <x:alignment wrapText="1"/>
    </x:xf>
    <x:xf numFmtId="0" fontId="9" fillId="6" borderId="1" xfId="0" applyNumberFormat="1" applyFont="1" applyFill="1" applyBorder="1" applyAlignment="1">
      <x:alignment vertical="center" wrapText="1"/>
    </x:xf>
    <x:xf numFmtId="0" fontId="10" fillId="6" borderId="0" xfId="0" applyNumberFormat="1" applyFont="1" applyFill="1" applyBorder="1"/>
    <x:xf numFmtId="202" fontId="10" fillId="6" borderId="0" xfId="0" applyNumberFormat="1" applyFont="1" applyFill="1" applyBorder="1"/>
    <x:xf numFmtId="202" fontId="10" fillId="6" borderId="0" xfId="0" applyNumberFormat="1" applyFont="1" applyFill="1" applyBorder="1" applyAlignment="1">
      <x:alignment horizontal="left"/>
    </x:xf>
    <x:xf numFmtId="202" fontId="10" fillId="6" borderId="0" xfId="0" applyNumberFormat="1" applyFont="1" applyFill="1" applyBorder="1" applyAlignment="1">
      <x:alignment horizontal="left" vertical="center"/>
    </x:xf>
    <x:xf numFmtId="0" fontId="10" fillId="6" borderId="1" xfId="0" applyNumberFormat="1" applyFont="1" applyFill="1" applyBorder="1"/>
    <x:xf numFmtId="202" fontId="10" fillId="6" borderId="1" xfId="0" applyNumberFormat="1" applyFont="1" applyFill="1" applyBorder="1"/>
    <x:xf numFmtId="202" fontId="10" fillId="6" borderId="1" xfId="0" applyNumberFormat="1" applyFont="1" applyFill="1" applyBorder="1" applyAlignment="1">
      <x:alignment horizontal="left"/>
    </x:xf>
    <x:xf numFmtId="202" fontId="10" fillId="6" borderId="1" xfId="0" applyNumberFormat="1" applyFont="1" applyFill="1" applyBorder="1" applyAlignment="1">
      <x:alignment horizontal="left" vertical="center"/>
    </x:xf>
    <x:xf numFmtId="0" fontId="11" fillId="6" borderId="0" xfId="0" applyNumberFormat="1" applyFont="1" applyFill="1" applyBorder="1"/>
    <x:xf numFmtId="202" fontId="11" fillId="6" borderId="0" xfId="0" applyNumberFormat="1" applyFont="1" applyFill="1" applyBorder="1"/>
    <x:xf numFmtId="202" fontId="11" fillId="6" borderId="0" xfId="0" applyNumberFormat="1" applyFont="1" applyFill="1" applyBorder="1" applyAlignment="1">
      <x:alignment horizontal="left"/>
    </x:xf>
    <x:xf numFmtId="202" fontId="11" fillId="6" borderId="0" xfId="0" applyNumberFormat="1" applyFont="1" applyFill="1" applyBorder="1" applyAlignment="1">
      <x:alignment horizontal="left" vertical="center"/>
    </x:xf>
    <x:xf numFmtId="0" fontId="11" fillId="6" borderId="1" xfId="0" applyNumberFormat="1" applyFont="1" applyFill="1" applyBorder="1"/>
    <x:xf numFmtId="202" fontId="11" fillId="6" borderId="1" xfId="0" applyNumberFormat="1" applyFont="1" applyFill="1" applyBorder="1"/>
    <x:xf numFmtId="202" fontId="11" fillId="6" borderId="1" xfId="0" applyNumberFormat="1" applyFont="1" applyFill="1" applyBorder="1" applyAlignment="1">
      <x:alignment horizontal="left"/>
    </x:xf>
    <x:xf numFmtId="202" fontId="11" fillId="6" borderId="1" xfId="0" applyNumberFormat="1" applyFont="1" applyFill="1" applyBorder="1" applyAlignment="1">
      <x:alignment horizontal="left" vertical="center"/>
    </x:xf>
    <x:xf numFmtId="0" fontId="12" fillId="6" borderId="0" xfId="0" applyNumberFormat="1" applyFont="1" applyFill="1" applyBorder="1"/>
    <x:xf numFmtId="202" fontId="12" fillId="6" borderId="0" xfId="0" applyNumberFormat="1" applyFont="1" applyFill="1" applyBorder="1"/>
    <x:xf numFmtId="202" fontId="12" fillId="6" borderId="0" xfId="0" applyNumberFormat="1" applyFont="1" applyFill="1" applyBorder="1" applyAlignment="1">
      <x:alignment horizontal="left"/>
    </x:xf>
    <x:xf numFmtId="202" fontId="12" fillId="6" borderId="0" xfId="0" applyNumberFormat="1" applyFont="1" applyFill="1" applyBorder="1" applyAlignment="1">
      <x:alignment horizontal="left" vertical="center"/>
    </x:xf>
    <x:xf numFmtId="0" fontId="12" fillId="6" borderId="1" xfId="0" applyNumberFormat="1" applyFont="1" applyFill="1" applyBorder="1"/>
    <x:xf numFmtId="202" fontId="12" fillId="6" borderId="1" xfId="0" applyNumberFormat="1" applyFont="1" applyFill="1" applyBorder="1"/>
    <x:xf numFmtId="202" fontId="12" fillId="6" borderId="1" xfId="0" applyNumberFormat="1" applyFont="1" applyFill="1" applyBorder="1" applyAlignment="1">
      <x:alignment horizontal="left"/>
    </x:xf>
    <x:xf numFmtId="202" fontId="12" fillId="6" borderId="1" xfId="0" applyNumberFormat="1" applyFont="1" applyFill="1" applyBorder="1" applyAlignment="1">
      <x:alignment horizontal="left" vertical="center"/>
    </x:xf>
    <x:xf numFmtId="0" fontId="13" fillId="6" borderId="0" xfId="0" applyNumberFormat="1" applyFont="1" applyFill="1" applyBorder="1"/>
    <x:xf numFmtId="202" fontId="13" fillId="6" borderId="0" xfId="0" applyNumberFormat="1" applyFont="1" applyFill="1" applyBorder="1"/>
    <x:xf numFmtId="202" fontId="13" fillId="6" borderId="0" xfId="0" applyNumberFormat="1" applyFont="1" applyFill="1" applyBorder="1" applyAlignment="1">
      <x:alignment horizontal="left"/>
    </x:xf>
    <x:xf numFmtId="202" fontId="13" fillId="6" borderId="0" xfId="0" applyNumberFormat="1" applyFont="1" applyFill="1" applyBorder="1" applyAlignment="1">
      <x:alignment horizontal="left" vertical="center"/>
    </x:xf>
    <x:xf numFmtId="0" fontId="13" fillId="6" borderId="1" xfId="0" applyNumberFormat="1" applyFont="1" applyFill="1" applyBorder="1"/>
    <x:xf numFmtId="202" fontId="13" fillId="6" borderId="1" xfId="0" applyNumberFormat="1" applyFont="1" applyFill="1" applyBorder="1"/>
    <x:xf numFmtId="202" fontId="13" fillId="6" borderId="1" xfId="0" applyNumberFormat="1" applyFont="1" applyFill="1" applyBorder="1" applyAlignment="1">
      <x:alignment horizontal="left"/>
    </x:xf>
    <x:xf numFmtId="202" fontId="13" fillId="6" borderId="1" xfId="0" applyNumberFormat="1" applyFont="1" applyFill="1" applyBorder="1" applyAlignment="1">
      <x:alignment horizontal="left" vertical="center"/>
    </x:xf>
    <x:xf numFmtId="0" fontId="14" fillId="6" borderId="0" xfId="0" applyNumberFormat="1" applyFont="1" applyFill="1" applyBorder="1"/>
    <x:xf numFmtId="0" fontId="14" fillId="6" borderId="0" xfId="0" applyNumberFormat="1" applyFont="1" applyFill="1" applyBorder="1" applyAlignment="1">
      <x:alignment vertical="center"/>
    </x:xf>
    <x:xf numFmtId="0" fontId="14" fillId="6" borderId="1" xfId="0" applyNumberFormat="1" applyFont="1" applyFill="1" applyBorder="1"/>
    <x:xf numFmtId="0" fontId="14" fillId="6" borderId="1" xfId="0" applyNumberFormat="1" applyFont="1" applyFill="1" applyBorder="1" applyAlignment="1">
      <x:alignment vertical="center"/>
    </x:xf>
    <x:xf numFmtId="0" fontId="6" fillId="7" borderId="0" xfId="0" applyNumberFormat="1" applyFont="1" applyFill="1" applyBorder="1"/>
    <x:xf numFmtId="0" fontId="15" fillId="7" borderId="0" xfId="0" applyNumberFormat="1" applyFont="1" applyFill="1" applyBorder="1"/>
    <x:xf numFmtId="0" fontId="15" fillId="7" borderId="0" xfId="0" applyNumberFormat="1" applyFont="1" applyFill="1" applyBorder="1" applyAlignment="1">
      <x:alignment wrapText="1"/>
    </x:xf>
    <x:xf numFmtId="0" fontId="15" fillId="7" borderId="0" xfId="0" applyNumberFormat="1" applyFont="1" applyFill="1" applyBorder="1" applyAlignment="1">
      <x:alignment vertical="center" wrapText="1"/>
    </x:xf>
    <x:xf numFmtId="0" fontId="6" fillId="7" borderId="1" xfId="0" applyNumberFormat="1" applyFont="1" applyFill="1" applyBorder="1"/>
    <x:xf numFmtId="0" fontId="15" fillId="7" borderId="1" xfId="0" applyNumberFormat="1" applyFont="1" applyFill="1" applyBorder="1"/>
    <x:xf numFmtId="0" fontId="15" fillId="7" borderId="1" xfId="0" applyNumberFormat="1" applyFont="1" applyFill="1" applyBorder="1" applyAlignment="1">
      <x:alignment wrapText="1"/>
    </x:xf>
    <x:xf numFmtId="0" fontId="15" fillId="7" borderId="1" xfId="0" applyNumberFormat="1" applyFont="1" applyFill="1" applyBorder="1" applyAlignment="1">
      <x:alignment vertical="center" wrapText="1"/>
    </x:xf>
    <x:xf numFmtId="0" fontId="6" fillId="8" borderId="0" xfId="0" applyNumberFormat="1" applyFont="1" applyFill="1" applyBorder="1"/>
    <x:xf numFmtId="0" fontId="16" fillId="8" borderId="0" xfId="0" applyNumberFormat="1" applyFont="1" applyFill="1" applyBorder="1"/>
    <x:xf numFmtId="0" fontId="16" fillId="8" borderId="0" xfId="0" applyNumberFormat="1" applyFont="1" applyFill="1" applyBorder="1" applyAlignment="1">
      <x:alignment wrapText="1"/>
    </x:xf>
    <x:xf numFmtId="0" fontId="16" fillId="8" borderId="0" xfId="0" applyNumberFormat="1" applyFont="1" applyFill="1" applyBorder="1" applyAlignment="1">
      <x:alignment vertical="center" wrapText="1"/>
    </x:xf>
    <x:xf numFmtId="0" fontId="6" fillId="8" borderId="1" xfId="0" applyNumberFormat="1" applyFont="1" applyFill="1" applyBorder="1"/>
    <x:xf numFmtId="0" fontId="16" fillId="8" borderId="1" xfId="0" applyNumberFormat="1" applyFont="1" applyFill="1" applyBorder="1"/>
    <x:xf numFmtId="0" fontId="16" fillId="8" borderId="1" xfId="0" applyNumberFormat="1" applyFont="1" applyFill="1" applyBorder="1" applyAlignment="1">
      <x:alignment wrapText="1"/>
    </x:xf>
    <x:xf numFmtId="0" fontId="16" fillId="8" borderId="1" xfId="0" applyNumberFormat="1" applyFont="1" applyFill="1" applyBorder="1" applyAlignment="1">
      <x:alignment vertical="center" wrapText="1"/>
    </x:xf>
    <x:xf numFmtId="0" fontId="6" fillId="9" borderId="0" xfId="0" applyNumberFormat="1" applyFont="1" applyFill="1" applyBorder="1"/>
    <x:xf numFmtId="0" fontId="17" fillId="9" borderId="0" xfId="0" applyNumberFormat="1" applyFont="1" applyFill="1" applyBorder="1"/>
    <x:xf numFmtId="0" fontId="17" fillId="9" borderId="0" xfId="0" applyNumberFormat="1" applyFont="1" applyFill="1" applyBorder="1" applyAlignment="1">
      <x:alignment wrapText="1"/>
    </x:xf>
    <x:xf numFmtId="0" fontId="17" fillId="9" borderId="0" xfId="0" applyNumberFormat="1" applyFont="1" applyFill="1" applyBorder="1" applyAlignment="1">
      <x:alignment vertical="center" wrapText="1"/>
    </x:xf>
    <x:xf numFmtId="0" fontId="6" fillId="9" borderId="1" xfId="0" applyNumberFormat="1" applyFont="1" applyFill="1" applyBorder="1"/>
    <x:xf numFmtId="0" fontId="17" fillId="9" borderId="1" xfId="0" applyNumberFormat="1" applyFont="1" applyFill="1" applyBorder="1"/>
    <x:xf numFmtId="0" fontId="17" fillId="9" borderId="1" xfId="0" applyNumberFormat="1" applyFont="1" applyFill="1" applyBorder="1" applyAlignment="1">
      <x:alignment wrapText="1"/>
    </x:xf>
    <x:xf numFmtId="0" fontId="17" fillId="9" borderId="1" xfId="0" applyNumberFormat="1" applyFont="1" applyFill="1" applyBorder="1" applyAlignment="1">
      <x:alignment vertical="center" wrapText="1"/>
    </x:xf>
    <x:xf numFmtId="0" fontId="18" fillId="6" borderId="0" xfId="0" applyNumberFormat="1" applyFont="1" applyFill="1" applyBorder="1"/>
    <x:xf numFmtId="0" fontId="18" fillId="6" borderId="0" xfId="0" applyNumberFormat="1" applyFont="1" applyFill="1" applyBorder="1" applyAlignment="1">
      <x:alignment wrapText="1"/>
    </x:xf>
    <x:xf numFmtId="0" fontId="18" fillId="6" borderId="0" xfId="0" applyNumberFormat="1" applyFont="1" applyFill="1" applyBorder="1" applyAlignment="1">
      <x:alignment vertical="center" wrapText="1"/>
    </x:xf>
    <x:xf numFmtId="0" fontId="18" fillId="6" borderId="1" xfId="0" applyNumberFormat="1" applyFont="1" applyFill="1" applyBorder="1"/>
    <x:xf numFmtId="0" fontId="18" fillId="6" borderId="1" xfId="0" applyNumberFormat="1" applyFont="1" applyFill="1" applyBorder="1" applyAlignment="1">
      <x:alignment wrapText="1"/>
    </x:xf>
    <x:xf numFmtId="0" fontId="18" fillId="6" borderId="1" xfId="0" applyNumberFormat="1" applyFont="1" applyFill="1" applyBorder="1" applyAlignment="1">
      <x:alignment vertical="center" wrapText="1"/>
    </x:xf>
    <x:xf numFmtId="0" fontId="19" fillId="4" borderId="0" xfId="0" applyNumberFormat="1" applyFont="1" applyFill="1" applyBorder="1"/>
    <x:xf numFmtId="0" fontId="19" fillId="4" borderId="0" xfId="0" applyNumberFormat="1" applyFont="1" applyFill="1" applyBorder="1" applyAlignment="1">
      <x:alignment horizontal="right"/>
    </x:xf>
    <x:xf numFmtId="0" fontId="19" fillId="4" borderId="0" xfId="0" applyNumberFormat="1" applyFont="1" applyFill="1" applyBorder="1" applyAlignment="1">
      <x:alignment horizontal="right" vertical="bottom"/>
    </x:xf>
    <x:xf numFmtId="0" fontId="19" fillId="4" borderId="1" xfId="0" applyNumberFormat="1" applyFont="1" applyFill="1" applyBorder="1"/>
    <x:xf numFmtId="0" fontId="19" fillId="4" borderId="1" xfId="0" applyNumberFormat="1" applyFont="1" applyFill="1" applyBorder="1" applyAlignment="1">
      <x:alignment horizontal="right"/>
    </x:xf>
    <x:xf numFmtId="0" fontId="19" fillId="4" borderId="1" xfId="0" applyNumberFormat="1" applyFont="1" applyFill="1" applyBorder="1" applyAlignment="1">
      <x:alignment horizontal="right" vertical="bottom"/>
    </x:xf>
    <x:xf numFmtId="0" fontId="0" fillId="0" borderId="0" xfId="0" applyNumberFormat="1" applyFont="1" applyFill="1" applyBorder="1"/>
    <x:xf numFmtId="0" fontId="0" fillId="10" borderId="0" xfId="0" applyNumberFormat="1" applyFont="1" applyFill="1" applyBorder="1"/>
    <x:xf numFmtId="0" fontId="14" fillId="10" borderId="0" xfId="0" applyNumberFormat="1" applyFont="1" applyFill="1" applyBorder="1"/>
    <x:xf numFmtId="0" fontId="14" fillId="10" borderId="0" xfId="0" applyNumberFormat="1" applyFont="1" applyFill="1" applyBorder="1" applyAlignment="1">
      <x:alignment vertical="center"/>
    </x:xf>
    <x:xf numFmtId="0" fontId="0" fillId="11" borderId="0" xfId="0" applyNumberFormat="1" applyFont="1" applyFill="1" applyBorder="1"/>
    <x:xf numFmtId="0" fontId="20" fillId="11" borderId="0" xfId="0" applyNumberFormat="1" applyFont="1" applyFill="1" applyBorder="1"/>
    <x:xf numFmtId="0" fontId="20" fillId="11" borderId="0" xfId="0" applyNumberFormat="1" applyFont="1" applyFill="1" applyBorder="1" applyAlignment="1">
      <x:alignment wrapText="1"/>
    </x:xf>
    <x:xf numFmtId="0" fontId="20" fillId="11" borderId="0" xfId="0" applyNumberFormat="1" applyFont="1" applyFill="1" applyBorder="1" applyAlignment="1">
      <x:alignment horizontal="center" wrapText="1"/>
    </x:xf>
    <x:xf numFmtId="0" fontId="20" fillId="11" borderId="0" xfId="0" applyNumberFormat="1" applyFont="1" applyFill="1" applyBorder="1" applyAlignment="1">
      <x:alignment horizontal="center" vertical="center" wrapText="1"/>
    </x:xf>
    <x:xf numFmtId="0" fontId="0" fillId="12" borderId="0" xfId="0" applyNumberFormat="1" applyFont="1" applyFill="1" applyBorder="1"/>
    <x:xf numFmtId="0" fontId="20" fillId="12" borderId="0" xfId="0" applyNumberFormat="1" applyFont="1" applyFill="1" applyBorder="1"/>
    <x:xf numFmtId="0" fontId="20" fillId="12" borderId="0" xfId="0" applyNumberFormat="1" applyFont="1" applyFill="1" applyBorder="1" applyAlignment="1">
      <x:alignment wrapText="1"/>
    </x:xf>
    <x:xf numFmtId="0" fontId="20" fillId="12" borderId="0" xfId="0" applyNumberFormat="1" applyFont="1" applyFill="1" applyBorder="1" applyAlignment="1">
      <x:alignment horizontal="center" wrapText="1"/>
    </x:xf>
    <x:xf numFmtId="0" fontId="20" fillId="12" borderId="0" xfId="0" applyNumberFormat="1" applyFont="1" applyFill="1" applyBorder="1" applyAlignment="1">
      <x:alignment horizontal="center" vertical="center" wrapText="1"/>
    </x:xf>
    <x:xf numFmtId="0" fontId="0" fillId="13" borderId="0" xfId="0" applyNumberFormat="1" applyFont="1" applyFill="1" applyBorder="1"/>
    <x:xf numFmtId="0" fontId="20" fillId="13" borderId="0" xfId="0" applyNumberFormat="1" applyFont="1" applyFill="1" applyBorder="1"/>
    <x:xf numFmtId="0" fontId="20" fillId="13" borderId="0" xfId="0" applyNumberFormat="1" applyFont="1" applyFill="1" applyBorder="1" applyAlignment="1">
      <x:alignment wrapText="1"/>
    </x:xf>
    <x:xf numFmtId="0" fontId="20" fillId="13" borderId="0" xfId="0" applyNumberFormat="1" applyFont="1" applyFill="1" applyBorder="1" applyAlignment="1">
      <x:alignment horizontal="center" wrapText="1"/>
    </x:xf>
    <x:xf numFmtId="0" fontId="20" fillId="13" borderId="0" xfId="0" applyNumberFormat="1" applyFont="1" applyFill="1" applyBorder="1" applyAlignment="1">
      <x:alignment horizontal="center" vertical="center" wrapText="1"/>
    </x:xf>
    <x:xf numFmtId="0" fontId="0" fillId="14" borderId="0" xfId="0" applyNumberFormat="1" applyFont="1" applyFill="1" applyBorder="1"/>
    <x:xf numFmtId="0" fontId="20" fillId="14" borderId="0" xfId="0" applyNumberFormat="1" applyFont="1" applyFill="1" applyBorder="1"/>
    <x:xf numFmtId="0" fontId="20" fillId="14" borderId="0" xfId="0" applyNumberFormat="1" applyFont="1" applyFill="1" applyBorder="1" applyAlignment="1">
      <x:alignment wrapText="1"/>
    </x:xf>
    <x:xf numFmtId="0" fontId="20" fillId="14" borderId="0" xfId="0" applyNumberFormat="1" applyFont="1" applyFill="1" applyBorder="1" applyAlignment="1">
      <x:alignment horizontal="center" wrapText="1"/>
    </x:xf>
    <x:xf numFmtId="0" fontId="20" fillId="14" borderId="0" xfId="0" applyNumberFormat="1" applyFont="1" applyFill="1" applyBorder="1" applyAlignment="1">
      <x:alignment horizontal="center" vertical="center" wrapText="1"/>
    </x:xf>
    <x:xf numFmtId="0" fontId="21" fillId="10" borderId="0" xfId="0" applyNumberFormat="1" applyFont="1" applyFill="1" applyBorder="1"/>
    <x:xf numFmtId="0" fontId="21" fillId="10" borderId="0" xfId="0" applyNumberFormat="1" applyFont="1" applyFill="1" applyBorder="1" applyAlignment="1">
      <x:alignment wrapText="1"/>
    </x:xf>
    <x:xf numFmtId="0" fontId="21" fillId="10" borderId="0" xfId="0" applyNumberFormat="1" applyFont="1" applyFill="1" applyBorder="1" applyAlignment="1">
      <x:alignment vertical="center" wrapText="1"/>
    </x:xf>
    <x:xf numFmtId="0" fontId="18" fillId="10" borderId="0" xfId="0" applyNumberFormat="1" applyFont="1" applyFill="1" applyBorder="1"/>
    <x:xf numFmtId="0" fontId="18" fillId="10" borderId="0" xfId="0" applyNumberFormat="1" applyFont="1" applyFill="1" applyBorder="1" applyAlignment="1">
      <x:alignment wrapText="1"/>
    </x:xf>
    <x:xf numFmtId="0" fontId="18" fillId="10" borderId="0" xfId="0" applyNumberFormat="1" applyFont="1" applyFill="1" applyBorder="1" applyAlignment="1">
      <x:alignment vertic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65d09fd64e5c47c1" /><Relationship Type="http://schemas.openxmlformats.org/officeDocument/2006/relationships/theme" Target="/xl/theme/theme1.xml" Id="R518421054bab4a99" /><Relationship Type="http://schemas.openxmlformats.org/officeDocument/2006/relationships/sharedStrings" Target="/xl/sharedStrings.xml" Id="R394df61b8a64464b" /><Relationship Type="http://schemas.openxmlformats.org/officeDocument/2006/relationships/worksheet" Target="/xl/worksheets/sheet1.xml" Id="R4ceb5fff31e348a3" /><Relationship Type="http://schemas.openxmlformats.org/officeDocument/2006/relationships/worksheet" Target="/xl/worksheets/sheet2.xml" Id="Ra8dc244cc16c4f80" /><Relationship Type="http://schemas.openxmlformats.org/officeDocument/2006/relationships/worksheet" Target="/xl/worksheets/sheet3.xml" Id="Rf962dbbf56314175" /><Relationship Type="http://schemas.openxmlformats.org/officeDocument/2006/relationships/worksheet" Target="/xl/worksheets/sheet4.xml" Id="R2ab07129a54c4982" /><Relationship Type="http://schemas.openxmlformats.org/officeDocument/2006/relationships/worksheet" Target="/xl/worksheets/sheet5.xml" Id="R5f7f72f718974121" /></Relationships>
</file>

<file path=xl/drawings/_rels/drawing1.xml.rels>&#65279;<?xml version="1.0" encoding="utf-8"?><Relationships xmlns="http://schemas.openxmlformats.org/package/2006/relationships"><Relationship Type="http://schemas.openxmlformats.org/officeDocument/2006/relationships/chart" Target="/xl/drawings/charts/chart1.xml" Id="R4ddbc15388034777" /><Relationship Type="http://schemas.openxmlformats.org/officeDocument/2006/relationships/chart" Target="/xl/drawings/charts/chart2.xml" Id="R409a45c3ba4a4c4e" /><Relationship Type="http://schemas.openxmlformats.org/officeDocument/2006/relationships/chart" Target="/xl/drawings/charts/chart3.xml" Id="R72159d80fd964e00" /><Relationship Type="http://schemas.openxmlformats.org/officeDocument/2006/relationships/chart" Target="/xl/drawings/charts/chart4.xml" Id="Rb252898d1e494497"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South Africa: learning and development expectations</a:t>
            </a:r>
          </a:p>
        </c:rich>
      </c:tx>
    </c:title>
    <c:plotArea>
      <c:barChart>
        <c:barDir val="bar"/>
        <c:varyColors val="0"/>
        <c:ser>
          <c:idx val="0"/>
          <c:order val="0"/>
          <c:tx>
            <c:v>Percent</c:v>
          </c:tx>
          <c:cat>
            <c:strRef>
              <c:f>'Dashboard'!$R$2:$R$7</c:f>
              <c:strCache>
                <c:ptCount val="0"/>
              </c:strCache>
            </c:strRef>
          </c:cat>
          <c:val>
            <c:numRef>
              <c:f>'Dashboard'!$S$2:$S$7</c:f>
              <c:numCache>
                <c:formatCode>General</c:formatCode>
                <c:ptCount val="0"/>
              </c:numCache>
            </c:numRef>
          </c:val>
        </c:ser>
        <c:axId val="48650112"/>
        <c:axId val="48672768"/>
      </c:barChart>
      <c:catAx>
        <c:axId val="48650112"/>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lblAlgn val="ctr"/>
        <c:lblOffset val="100"/>
        <c:noMultiLvlLbl val="0"/>
      </c:catAx>
      <c:valAx>
        <c:axId val="48672768"/>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crossAx val="48650112"/>
        <c:crossBetween val="between"/>
      </c:valAx>
    </c:plotArea>
    <c:plotVisOnly val="1"/>
  </c:chart>
  <c:spPr>
    <a:ln xmlns:a="http://schemas.openxmlformats.org/drawingml/2006/main" w="9525">
      <a:solidFill>
        <a:srgbClr val="D9D9D9"/>
      </a:solidFill>
      <a:prstDash val="solid"/>
    </a:ln>
  </c:spPr>
</c:chartSpace>
</file>

<file path=xl/drawings/charts/chart2.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Employer survey: reported reasons</a:t>
            </a:r>
          </a:p>
        </c:rich>
      </c:tx>
    </c:title>
    <c:plotArea>
      <c:barChart>
        <c:barDir val="bar"/>
        <c:varyColors val="0"/>
        <c:ser>
          <c:idx val="0"/>
          <c:order val="0"/>
          <c:tx>
            <c:v>Percent</c:v>
          </c:tx>
          <c:cat>
            <c:strRef>
              <c:f>'Dashboard'!$U$2:$U$6</c:f>
              <c:strCache>
                <c:ptCount val="0"/>
              </c:strCache>
            </c:strRef>
          </c:cat>
          <c:val>
            <c:numRef>
              <c:f>'Dashboard'!$V$2:$V$6</c:f>
              <c:numCache>
                <c:formatCode>General</c:formatCode>
                <c:ptCount val="0"/>
              </c:numCache>
            </c:numRef>
          </c:val>
        </c:ser>
        <c:axId val="48650112"/>
        <c:axId val="48672768"/>
      </c:barChart>
      <c:catAx>
        <c:axId val="48650112"/>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lblAlgn val="ctr"/>
        <c:lblOffset val="100"/>
        <c:noMultiLvlLbl val="0"/>
      </c:catAx>
      <c:valAx>
        <c:axId val="48672768"/>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crossAx val="48650112"/>
        <c:crossBetween val="between"/>
      </c:valAx>
    </c:plotArea>
    <c:plotVisOnly val="1"/>
  </c:chart>
  <c:spPr>
    <a:ln xmlns:a="http://schemas.openxmlformats.org/drawingml/2006/main" w="9525">
      <a:solidFill>
        <a:srgbClr val="D9D9D9"/>
      </a:solidFill>
      <a:prstDash val="solid"/>
    </a:ln>
  </c:spPr>
</c:chartSpace>
</file>

<file path=xl/drawings/charts/chart3.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South Africa youth labour indicators</a:t>
            </a:r>
          </a:p>
        </c:rich>
      </c:tx>
    </c:title>
    <c:plotArea>
      <c:barChart>
        <c:barDir val="col"/>
        <c:varyColors val="0"/>
        <c:ser>
          <c:idx val="0"/>
          <c:order val="0"/>
          <c:tx>
            <c:v>Percent</c:v>
          </c:tx>
          <c:cat>
            <c:strRef>
              <c:f>'Dashboard'!$R$11:$R$14</c:f>
              <c:strCache>
                <c:ptCount val="0"/>
              </c:strCache>
            </c:strRef>
          </c:cat>
          <c:val>
            <c:numRef>
              <c:f>'Dashboard'!$S$11:$S$14</c:f>
              <c:numCache>
                <c:formatCode>General</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Between val="between"/>
      </c:valAx>
    </c:plotArea>
    <c:plotVisOnly val="1"/>
  </c:chart>
  <c:spPr>
    <a:ln xmlns:a="http://schemas.openxmlformats.org/drawingml/2006/main" w="9525">
      <a:solidFill>
        <a:srgbClr val="D9D9D9"/>
      </a:solidFill>
      <a:prstDash val="solid"/>
    </a:ln>
  </c:spPr>
</c:chartSpace>
</file>

<file path=xl/drawings/charts/chart4.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Global Gen Z career progression preferences</a:t>
            </a:r>
          </a:p>
        </c:rich>
      </c:tx>
    </c:title>
    <c:plotArea>
      <c:barChart>
        <c:barDir val="col"/>
        <c:varyColors val="0"/>
        <c:ser>
          <c:idx val="0"/>
          <c:order val="0"/>
          <c:tx>
            <c:v>Percent</c:v>
          </c:tx>
          <c:cat>
            <c:strRef>
              <c:f>'Dashboard'!$U$11:$U$13</c:f>
              <c:strCache>
                <c:ptCount val="0"/>
              </c:strCache>
            </c:strRef>
          </c:cat>
          <c:val>
            <c:numRef>
              <c:f>'Dashboard'!$V$11:$V$13</c:f>
              <c:numCache>
                <c:formatCode>General</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Between val="between"/>
      </c:valAx>
    </c:plotArea>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1</xdr:col>
      <xdr:colOff>0</xdr:colOff>
      <xdr:row>13</xdr:row>
      <xdr:rowOff>0</xdr:rowOff>
    </xdr:from>
    <xdr:to>
      <xdr:col>8</xdr:col>
      <xdr:colOff>0</xdr:colOff>
      <xdr:row>28</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4ddbc15388034777"/>
        </a:graphicData>
      </a:graphic>
    </xdr:graphicFrame>
    <xdr:clientData/>
  </xdr:twoCellAnchor>
  <xdr:twoCellAnchor>
    <xdr:from>
      <xdr:col>9</xdr:col>
      <xdr:colOff>0</xdr:colOff>
      <xdr:row>13</xdr:row>
      <xdr:rowOff>0</xdr:rowOff>
    </xdr:from>
    <xdr:to>
      <xdr:col>16</xdr:col>
      <xdr:colOff>0</xdr:colOff>
      <xdr:row>28</xdr:row>
      <xdr:rowOff>0</xdr:rowOff>
    </xdr:to>
    <xdr:graphicFrame macro="">
      <xdr:nvGraphicFramePr>
        <xdr:cNvPr id="2"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409a45c3ba4a4c4e"/>
        </a:graphicData>
      </a:graphic>
    </xdr:graphicFrame>
    <xdr:clientData/>
  </xdr:twoCellAnchor>
  <xdr:twoCellAnchor>
    <xdr:from>
      <xdr:col>1</xdr:col>
      <xdr:colOff>0</xdr:colOff>
      <xdr:row>30</xdr:row>
      <xdr:rowOff>0</xdr:rowOff>
    </xdr:from>
    <xdr:to>
      <xdr:col>8</xdr:col>
      <xdr:colOff>0</xdr:colOff>
      <xdr:row>44</xdr:row>
      <xdr:rowOff>0</xdr:rowOff>
    </xdr:to>
    <xdr:graphicFrame macro="">
      <xdr:nvGraphicFramePr>
        <xdr:cNvPr id="3"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72159d80fd964e00"/>
        </a:graphicData>
      </a:graphic>
    </xdr:graphicFrame>
    <xdr:clientData/>
  </xdr:twoCellAnchor>
  <xdr:twoCellAnchor>
    <xdr:from>
      <xdr:col>9</xdr:col>
      <xdr:colOff>0</xdr:colOff>
      <xdr:row>30</xdr:row>
      <xdr:rowOff>0</xdr:rowOff>
    </xdr:from>
    <xdr:to>
      <xdr:col>16</xdr:col>
      <xdr:colOff>0</xdr:colOff>
      <xdr:row>44</xdr:row>
      <xdr:rowOff>0</xdr:rowOff>
    </xdr:to>
    <xdr:graphicFrame macro="">
      <xdr:nvGraphicFramePr>
        <xdr:cNvPr id="4"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b252898d1e494497"/>
        </a:graphicData>
      </a:graphic>
    </xdr:graphicFrame>
    <xdr:clientData/>
  </xdr:twoCellAnchor>
</xdr:wsDr>
</file>

<file path=xl/tables/table1.xml><?xml version="1.0" encoding="utf-8"?>
<x:table xmlns:x="http://schemas.openxmlformats.org/spreadsheetml/2006/main" id="1" name="SourceMetricsTable" displayName="SourceMetricsTable" ref="A1:K38" headerRowCount="1" totalsRowCount="0" totalsRowShown="0">
  <x:tableColumns count="11">
    <x:tableColumn id="1" name="Source_ID"/>
    <x:tableColumn id="2" name="Theme"/>
    <x:tableColumn id="3" name="Metric"/>
    <x:tableColumn id="4" name="Value"/>
    <x:tableColumn id="5" name="Unit"/>
    <x:tableColumn id="6" name="Geography"/>
    <x:tableColumn id="7" name="Population"/>
    <x:tableColumn id="8" name="Period"/>
    <x:tableColumn id="9" name="Source"/>
    <x:tableColumn id="10" name="Source_URL"/>
    <x:tableColumn id="11" name="Notes"/>
  </x:tableColumns>
  <x:tableStyleInfo name="TableStyleMedium2" showFirstColumn="0" showLastColumn="0" showRowStripes="1" showColumnStripes="0"/>
</x:table>
</file>

<file path=xl/tables/table2.xml><?xml version="1.0" encoding="utf-8"?>
<x:table xmlns:x="http://schemas.openxmlformats.org/spreadsheetml/2006/main" id="2" name="ProvinceContextTable" displayName="ProvinceContextTable" ref="A1:E10" headerRowCount="1" totalsRowCount="0" totalsRowShown="0">
  <x:tableColumns count="5">
    <x:tableColumn id="1" name="Province"/>
    <x:tableColumn id="2" name="Change_000s"/>
    <x:tableColumn id="3" name="Direction"/>
    <x:tableColumn id="4" name="Period"/>
    <x:tableColumn id="5" name="Population"/>
  </x:tableColumns>
  <x:tableStyleInfo name="TableStyleMedium2" showFirstColumn="0" showLastColumn="0" showRowStripes="1" showColumnStripes="0"/>
</x:table>
</file>

<file path=xl/tables/table3.xml><?xml version="1.0" encoding="utf-8"?>
<x:table xmlns:x="http://schemas.openxmlformats.org/spreadsheetml/2006/main" id="3" name="SourcesTable" displayName="SourcesTable" ref="A1:E8" headerRowCount="1" totalsRowCount="0" totalsRowShown="0">
  <x:tableColumns count="5">
    <x:tableColumn id="1" name="Source_ID"/>
    <x:tableColumn id="2" name="Source"/>
    <x:tableColumn id="3" name="Published_or_period"/>
    <x:tableColumn id="4" name="Use_in_analysis"/>
    <x:tableColumn id="5" name="URL"/>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drawing" Target="/xl/drawings/drawing1.xml" Id="R6406f92b39134aaf" /></Relationships>
</file>

<file path=xl/worksheets/_rels/sheet2.xml.rels>&#65279;<?xml version="1.0" encoding="utf-8"?><Relationships xmlns="http://schemas.openxmlformats.org/package/2006/relationships"><Relationship Type="http://schemas.openxmlformats.org/officeDocument/2006/relationships/table" Target="/xl/tables/table1.xml" Id="Rf47f37327e3b447d" /></Relationships>
</file>

<file path=xl/worksheets/_rels/sheet3.xml.rels>&#65279;<?xml version="1.0" encoding="utf-8"?><Relationships xmlns="http://schemas.openxmlformats.org/package/2006/relationships"><Relationship Type="http://schemas.openxmlformats.org/officeDocument/2006/relationships/table" Target="/xl/tables/table2.xml" Id="R56a98c0dbb3d44d5" /></Relationships>
</file>

<file path=xl/worksheets/_rels/sheet4.xml.rels>&#65279;<?xml version="1.0" encoding="utf-8"?><Relationships xmlns="http://schemas.openxmlformats.org/package/2006/relationships"><Relationship Type="http://schemas.openxmlformats.org/officeDocument/2006/relationships/table" Target="/xl/tables/table3.xml" Id="Rbe4115095cce4be0" /></Relationships>
</file>

<file path=xl/worksheets/sheet1.xml><?xml version="1.0" encoding="utf-8"?>
<x:worksheet xmlns:x="http://schemas.openxmlformats.org/spreadsheetml/2006/main">
  <x:sheetFormatPr defaultRowHeight="15"/>
  <x:cols>
    <x:col min="1" max="1" width="3" hidden="0" customWidth="1"/>
    <x:col min="2" max="2" width="14" hidden="0" customWidth="1"/>
    <x:col min="3" max="3" width="14" hidden="0" customWidth="1"/>
    <x:col min="4" max="4" width="14" hidden="0" customWidth="1"/>
    <x:col min="5" max="5" width="14" hidden="0" customWidth="1"/>
    <x:col min="6" max="6" width="3" hidden="0" customWidth="1"/>
    <x:col min="7" max="7" width="14" hidden="0" customWidth="1"/>
    <x:col min="8" max="8" width="14" hidden="0" customWidth="1"/>
    <x:col min="9" max="9" width="14" hidden="0" customWidth="1"/>
    <x:col min="10" max="10" width="14" hidden="0" customWidth="1"/>
    <x:col min="11" max="11" width="3" hidden="0" customWidth="1"/>
    <x:col min="12" max="12" width="14" hidden="0" customWidth="1"/>
    <x:col min="13" max="13" width="14" hidden="0" customWidth="1"/>
    <x:col min="14" max="14" width="14" hidden="0" customWidth="1"/>
    <x:col min="15" max="15" width="14" hidden="0" customWidth="1"/>
    <x:col min="16" max="16" width="3" hidden="0" customWidth="1"/>
    <x:col min="18" max="18" width="2" hidden="0" customWidth="1"/>
    <x:col min="19" max="19" width="2" hidden="0" customWidth="1"/>
    <x:col min="20" max="20" width="2" hidden="0" customWidth="1"/>
    <x:col min="21" max="21" width="2" hidden="0" customWidth="1"/>
    <x:col min="22" max="22" width="2" hidden="0" customWidth="1"/>
  </x:cols>
  <x:sheetData>
    <x:row r="1">
      <x:c r="A1" s="47" t="str">
        <x:v>GEN Z WORKPLACE RETENTION | EVIDENCE REVIEW</x:v>
      </x:c>
      <x:c r="B1" s="47"/>
      <x:c r="C1" s="47"/>
      <x:c r="D1" s="47"/>
      <x:c r="E1" s="47"/>
      <x:c r="F1" s="47"/>
      <x:c r="G1" s="47"/>
      <x:c r="H1" s="47"/>
      <x:c r="I1" s="47"/>
      <x:c r="J1" s="47"/>
      <x:c r="K1" s="47"/>
      <x:c r="L1" s="47"/>
      <x:c r="M1" s="47"/>
      <x:c r="N1" s="47"/>
      <x:c r="O1" s="47"/>
      <x:c r="P1" s="47"/>
      <x:c r="R1" t="str">
        <x:v>SA development</x:v>
      </x:c>
      <x:c r="S1" t="str">
        <x:v>Percent</x:v>
      </x:c>
      <x:c r="U1" t="str">
        <x:v>Employer reason</x:v>
      </x:c>
      <x:c r="V1" t="str">
        <x:v>Percent</x:v>
      </x:c>
    </x:row>
    <x:row r="2">
      <x:c r="A2" s="47"/>
      <x:c r="B2" s="47"/>
      <x:c r="C2" s="47"/>
      <x:c r="D2" s="47"/>
      <x:c r="E2" s="47"/>
      <x:c r="F2" s="47"/>
      <x:c r="G2" s="47"/>
      <x:c r="H2" s="47"/>
      <x:c r="I2" s="47"/>
      <x:c r="J2" s="47"/>
      <x:c r="K2" s="47"/>
      <x:c r="L2" s="47"/>
      <x:c r="M2" s="47"/>
      <x:c r="N2" s="47"/>
      <x:c r="O2" s="47"/>
      <x:c r="P2" s="47"/>
      <x:c r="R2" t="str">
        <x:v>Formal training</x:v>
      </x:c>
      <x:c r="S2" t="n">
        <x:f>'Source Metrics'!D16</x:f>
        <x:v>98</x:v>
      </x:c>
      <x:c r="U2" t="str">
        <x:v>Motivation / initiative</x:v>
      </x:c>
      <x:c r="V2" t="n">
        <x:f>'Source Metrics'!D23</x:f>
        <x:v>50</x:v>
      </x:c>
    </x:row>
    <x:row r="3">
      <x:c r="A3" s="47"/>
      <x:c r="B3" s="47"/>
      <x:c r="C3" s="47"/>
      <x:c r="D3" s="47"/>
      <x:c r="E3" s="47"/>
      <x:c r="F3" s="47"/>
      <x:c r="G3" s="47"/>
      <x:c r="H3" s="47"/>
      <x:c r="I3" s="47"/>
      <x:c r="J3" s="47"/>
      <x:c r="K3" s="47"/>
      <x:c r="L3" s="47"/>
      <x:c r="M3" s="47"/>
      <x:c r="N3" s="47"/>
      <x:c r="O3" s="47"/>
      <x:c r="P3" s="47"/>
      <x:c r="R3" t="str">
        <x:v>On-the-job learning</x:v>
      </x:c>
      <x:c r="S3" t="n">
        <x:f>'Source Metrics'!D17</x:f>
        <x:v>97</x:v>
      </x:c>
      <x:c r="U3" t="str">
        <x:v>Professionalism</x:v>
      </x:c>
      <x:c r="V3" t="n">
        <x:f>'Source Metrics'!D24</x:f>
        <x:v>46</x:v>
      </x:c>
    </x:row>
    <x:row r="4">
      <x:c r="A4" s="55" t="str">
        <x:v>Published evidence on South African youth labour-market pressure, development expectations, employer concerns and career preferences</x:v>
      </x:c>
      <x:c r="B4" s="55"/>
      <x:c r="C4" s="55"/>
      <x:c r="D4" s="55"/>
      <x:c r="E4" s="55"/>
      <x:c r="F4" s="55"/>
      <x:c r="G4" s="55"/>
      <x:c r="H4" s="55"/>
      <x:c r="I4" s="55"/>
      <x:c r="J4" s="55"/>
      <x:c r="K4" s="55"/>
      <x:c r="L4" s="55"/>
      <x:c r="M4" s="55"/>
      <x:c r="N4" s="55"/>
      <x:c r="O4" s="55"/>
      <x:c r="P4" s="55"/>
      <x:c r="R4" t="str">
        <x:v>Mentorship</x:v>
      </x:c>
      <x:c r="S4" t="n">
        <x:f>'Source Metrics'!D18</x:f>
        <x:v>97</x:v>
      </x:c>
      <x:c r="U4" t="str">
        <x:v>Communication</x:v>
      </x:c>
      <x:c r="V4" t="n">
        <x:f>'Source Metrics'!D25</x:f>
        <x:v>39</x:v>
      </x:c>
    </x:row>
    <x:row r="5">
      <x:c r="A5" s="55"/>
      <x:c r="B5" s="55"/>
      <x:c r="C5" s="55"/>
      <x:c r="D5" s="55"/>
      <x:c r="E5" s="55"/>
      <x:c r="F5" s="55"/>
      <x:c r="G5" s="55"/>
      <x:c r="H5" s="55"/>
      <x:c r="I5" s="55"/>
      <x:c r="J5" s="55"/>
      <x:c r="K5" s="55"/>
      <x:c r="L5" s="55"/>
      <x:c r="M5" s="55"/>
      <x:c r="N5" s="55"/>
      <x:c r="O5" s="55"/>
      <x:c r="P5" s="55"/>
      <x:c r="R5" t="str">
        <x:v>Feedback / reviews</x:v>
      </x:c>
      <x:c r="S5" t="n">
        <x:f>'Source Metrics'!D19</x:f>
        <x:v>94</x:v>
      </x:c>
      <x:c r="U5" t="str">
        <x:v>Feedback</x:v>
      </x:c>
      <x:c r="V5" t="n">
        <x:f>'Source Metrics'!D26</x:f>
        <x:v>38</x:v>
      </x:c>
    </x:row>
    <x:row r="6">
      <x:c r="A6" s="41"/>
      <x:c r="B6" s="41"/>
      <x:c r="C6" s="41"/>
      <x:c r="D6" s="41"/>
      <x:c r="E6" s="41"/>
      <x:c r="F6" s="41"/>
      <x:c r="G6" s="41"/>
      <x:c r="H6" s="41"/>
      <x:c r="I6" s="41"/>
      <x:c r="J6" s="41"/>
      <x:c r="K6" s="41"/>
      <x:c r="L6" s="41"/>
      <x:c r="M6" s="41"/>
      <x:c r="N6" s="41"/>
      <x:c r="O6" s="41"/>
      <x:c r="P6" s="41"/>
      <x:c r="R6" t="str">
        <x:v>Workshops / conferences</x:v>
      </x:c>
      <x:c r="S6" t="n">
        <x:f>'Source Metrics'!D20</x:f>
        <x:v>92</x:v>
      </x:c>
      <x:c r="U6" t="str">
        <x:v>Problem solving</x:v>
      </x:c>
      <x:c r="V6" t="n">
        <x:f>'Source Metrics'!D27</x:f>
        <x:v>34</x:v>
      </x:c>
    </x:row>
    <x:row r="7">
      <x:c r="A7" s="41"/>
      <x:c r="B7" s="64" t="str">
        <x:v>SA unemployment
age 15–24</x:v>
      </x:c>
      <x:c r="C7" s="64"/>
      <x:c r="D7" s="64"/>
      <x:c r="E7" s="64" t="str">
        <x:v>SA NEET
age 15–34</x:v>
      </x:c>
      <x:c r="F7" s="64"/>
      <x:c r="G7" s="64"/>
      <x:c r="H7" s="64" t="str">
        <x:v>SA Gen Z weekly
skill-building</x:v>
      </x:c>
      <x:c r="I7" s="64"/>
      <x:c r="J7" s="64"/>
      <x:c r="K7" s="64" t="str">
        <x:v>SA Gen Z value
feedback / reviews</x:v>
      </x:c>
      <x:c r="L7" s="64"/>
      <x:c r="M7" s="64"/>
      <x:c r="N7" s="64" t="str">
        <x:v>Employer survey:
lack of motivation / initiative</x:v>
      </x:c>
      <x:c r="O7" s="64"/>
      <x:c r="P7" s="64"/>
      <x:c r="R7" t="str">
        <x:v>Skill-building weekly</x:v>
      </x:c>
      <x:c r="S7" t="n">
        <x:f>'Source Metrics'!D15</x:f>
        <x:v>69</x:v>
      </x:c>
    </x:row>
    <x:row r="8">
      <x:c r="A8" s="41"/>
      <x:c r="B8" s="64"/>
      <x:c r="C8" s="64"/>
      <x:c r="D8" s="64"/>
      <x:c r="E8" s="64"/>
      <x:c r="F8" s="64"/>
      <x:c r="G8" s="64"/>
      <x:c r="H8" s="64"/>
      <x:c r="I8" s="64"/>
      <x:c r="J8" s="64"/>
      <x:c r="K8" s="64"/>
      <x:c r="L8" s="64"/>
      <x:c r="M8" s="64"/>
      <x:c r="N8" s="64"/>
      <x:c r="O8" s="64"/>
      <x:c r="P8" s="64"/>
    </x:row>
    <x:row r="9">
      <x:c r="A9" s="41"/>
      <x:c r="B9" s="71" t="str">
        <x:f>TEXT('Source Metrics'!D6,"0.0")&amp;"%"</x:f>
        <x:v>60.9%</x:v>
      </x:c>
      <x:c r="C9" s="71"/>
      <x:c r="D9" s="71"/>
      <x:c r="E9" s="79" t="str">
        <x:f>TEXT('Source Metrics'!D9,"0.0")&amp;"%"</x:f>
        <x:v>45.6%</x:v>
      </x:c>
      <x:c r="F9" s="79"/>
      <x:c r="G9" s="79"/>
      <x:c r="H9" s="87" t="str">
        <x:f>TEXT('Source Metrics'!D15,"0.0")&amp;"%"</x:f>
        <x:v>69.0%</x:v>
      </x:c>
      <x:c r="I9" s="87"/>
      <x:c r="J9" s="87"/>
      <x:c r="K9" s="95" t="str">
        <x:f>TEXT('Source Metrics'!D19,"0.0")&amp;"%"</x:f>
        <x:v>94.0%</x:v>
      </x:c>
      <x:c r="L9" s="95"/>
      <x:c r="M9" s="95"/>
      <x:c r="N9" s="71" t="str">
        <x:f>TEXT('Source Metrics'!D23,"0.0")&amp;"%"</x:f>
        <x:v>50.0%</x:v>
      </x:c>
      <x:c r="O9" s="71"/>
      <x:c r="P9" s="71"/>
    </x:row>
    <x:row r="10">
      <x:c r="A10" s="41"/>
      <x:c r="B10" s="71"/>
      <x:c r="C10" s="71"/>
      <x:c r="D10" s="71"/>
      <x:c r="E10" s="79"/>
      <x:c r="F10" s="79"/>
      <x:c r="G10" s="79"/>
      <x:c r="H10" s="87"/>
      <x:c r="I10" s="87"/>
      <x:c r="J10" s="87"/>
      <x:c r="K10" s="95"/>
      <x:c r="L10" s="95"/>
      <x:c r="M10" s="95"/>
      <x:c r="N10" s="71"/>
      <x:c r="O10" s="71"/>
      <x:c r="P10" s="71"/>
      <x:c r="R10" t="str">
        <x:v>SA labour indicator</x:v>
      </x:c>
      <x:c r="S10" t="str">
        <x:v>Percent</x:v>
      </x:c>
      <x:c r="U10" t="str">
        <x:v>Global career preference</x:v>
      </x:c>
      <x:c r="V10" t="str">
        <x:v>Percent</x:v>
      </x:c>
    </x:row>
    <x:row r="11">
      <x:c r="A11" s="41"/>
      <x:c r="B11" s="41"/>
      <x:c r="C11" s="41"/>
      <x:c r="D11" s="41"/>
      <x:c r="E11" s="41"/>
      <x:c r="F11" s="41"/>
      <x:c r="G11" s="41"/>
      <x:c r="H11" s="41"/>
      <x:c r="I11" s="41"/>
      <x:c r="J11" s="41"/>
      <x:c r="K11" s="41"/>
      <x:c r="L11" s="41"/>
      <x:c r="M11" s="41"/>
      <x:c r="N11" s="41"/>
      <x:c r="O11" s="41"/>
      <x:c r="P11" s="41"/>
      <x:c r="R11" t="str">
        <x:v>Unemployment 15–24</x:v>
      </x:c>
      <x:c r="S11" t="n">
        <x:f>'Source Metrics'!D6</x:f>
        <x:v>60.9</x:v>
      </x:c>
      <x:c r="U11" t="str">
        <x:v>Steady progress</x:v>
      </x:c>
      <x:c r="V11" t="n">
        <x:f>'Source Metrics'!D30</x:f>
        <x:v>44</x:v>
      </x:c>
    </x:row>
    <x:row r="12">
      <x:c r="A12" s="41"/>
      <x:c r="B12" s="101" t="str">
        <x:v>South African Gen Z development expectations</x:v>
      </x:c>
      <x:c r="C12" s="101"/>
      <x:c r="D12" s="101"/>
      <x:c r="E12" s="101"/>
      <x:c r="F12" s="101"/>
      <x:c r="G12" s="101"/>
      <x:c r="H12" s="101"/>
      <x:c r="I12" s="41"/>
      <x:c r="J12" s="101" t="str">
        <x:v>Employer-reported reasons recent graduate hires did not work out</x:v>
      </x:c>
      <x:c r="K12" s="101"/>
      <x:c r="L12" s="101"/>
      <x:c r="M12" s="101"/>
      <x:c r="N12" s="101"/>
      <x:c r="O12" s="101"/>
      <x:c r="P12" s="101"/>
      <x:c r="R12" t="str">
        <x:v>Unemployment 25–34</x:v>
      </x:c>
      <x:c r="S12" t="n">
        <x:f>'Source Metrics'!D7</x:f>
        <x:v>40.6</x:v>
      </x:c>
      <x:c r="U12" t="str">
        <x:v>Rapid promotions</x:v>
      </x:c>
      <x:c r="V12" t="n">
        <x:f>'Source Metrics'!D29</x:f>
        <x:v>25</x:v>
      </x:c>
    </x:row>
    <x:row r="13">
      <x:c r="A13" s="41"/>
      <x:c r="B13" s="101"/>
      <x:c r="C13" s="101"/>
      <x:c r="D13" s="101"/>
      <x:c r="E13" s="101"/>
      <x:c r="F13" s="101"/>
      <x:c r="G13" s="101"/>
      <x:c r="H13" s="101"/>
      <x:c r="I13" s="41"/>
      <x:c r="J13" s="101"/>
      <x:c r="K13" s="101"/>
      <x:c r="L13" s="101"/>
      <x:c r="M13" s="101"/>
      <x:c r="N13" s="101"/>
      <x:c r="O13" s="101"/>
      <x:c r="P13" s="101"/>
      <x:c r="R13" t="str">
        <x:v>NEET 15–24</x:v>
      </x:c>
      <x:c r="S13" t="n">
        <x:f>'Source Metrics'!D8</x:f>
        <x:v>37.6</x:v>
      </x:c>
      <x:c r="U13" t="str">
        <x:v>Lateral / step back</x:v>
      </x:c>
      <x:c r="V13" t="n">
        <x:f>'Source Metrics'!D31</x:f>
        <x:v>21</x:v>
      </x:c>
    </x:row>
    <x:row r="14">
      <x:c r="A14" s="41"/>
      <x:c r="B14" s="41"/>
      <x:c r="C14" s="41"/>
      <x:c r="D14" s="41"/>
      <x:c r="E14" s="41"/>
      <x:c r="F14" s="41"/>
      <x:c r="G14" s="41"/>
      <x:c r="H14" s="41"/>
      <x:c r="I14" s="41"/>
      <x:c r="J14" s="41"/>
      <x:c r="K14" s="41"/>
      <x:c r="L14" s="41"/>
      <x:c r="M14" s="41"/>
      <x:c r="N14" s="41"/>
      <x:c r="O14" s="41"/>
      <x:c r="P14" s="41"/>
      <x:c r="R14" t="str">
        <x:v>NEET 15–34</x:v>
      </x:c>
      <x:c r="S14" t="n">
        <x:f>'Source Metrics'!D9</x:f>
        <x:v>45.6</x:v>
      </x:c>
    </x:row>
    <x:row r="15">
      <x:c r="A15" s="41"/>
      <x:c r="B15" s="41"/>
      <x:c r="C15" s="41"/>
      <x:c r="D15" s="41"/>
      <x:c r="E15" s="41"/>
      <x:c r="F15" s="41"/>
      <x:c r="G15" s="41"/>
      <x:c r="H15" s="41"/>
      <x:c r="I15" s="41"/>
      <x:c r="J15" s="41"/>
      <x:c r="K15" s="41"/>
      <x:c r="L15" s="41"/>
      <x:c r="M15" s="41"/>
      <x:c r="N15" s="41"/>
      <x:c r="O15" s="41"/>
      <x:c r="P15" s="41"/>
    </x:row>
    <x:row r="16">
      <x:c r="A16" s="41"/>
      <x:c r="B16" s="41"/>
      <x:c r="C16" s="41"/>
      <x:c r="D16" s="41"/>
      <x:c r="E16" s="41"/>
      <x:c r="F16" s="41"/>
      <x:c r="G16" s="41"/>
      <x:c r="H16" s="41"/>
      <x:c r="I16" s="41"/>
      <x:c r="J16" s="41"/>
      <x:c r="K16" s="41"/>
      <x:c r="L16" s="41"/>
      <x:c r="M16" s="41"/>
      <x:c r="N16" s="41"/>
      <x:c r="O16" s="41"/>
      <x:c r="P16" s="41"/>
    </x:row>
    <x:row r="17">
      <x:c r="A17" s="41"/>
      <x:c r="B17" s="41"/>
      <x:c r="C17" s="41"/>
      <x:c r="D17" s="41"/>
      <x:c r="E17" s="41"/>
      <x:c r="F17" s="41"/>
      <x:c r="G17" s="41"/>
      <x:c r="H17" s="41"/>
      <x:c r="I17" s="41"/>
      <x:c r="J17" s="41"/>
      <x:c r="K17" s="41"/>
      <x:c r="L17" s="41"/>
      <x:c r="M17" s="41"/>
      <x:c r="N17" s="41"/>
      <x:c r="O17" s="41"/>
      <x:c r="P17" s="41"/>
    </x:row>
    <x:row r="18">
      <x:c r="A18" s="41"/>
      <x:c r="B18" s="41"/>
      <x:c r="C18" s="41"/>
      <x:c r="D18" s="41"/>
      <x:c r="E18" s="41"/>
      <x:c r="F18" s="41"/>
      <x:c r="G18" s="41"/>
      <x:c r="H18" s="41"/>
      <x:c r="I18" s="41"/>
      <x:c r="J18" s="41"/>
      <x:c r="K18" s="41"/>
      <x:c r="L18" s="41"/>
      <x:c r="M18" s="41"/>
      <x:c r="N18" s="41"/>
      <x:c r="O18" s="41"/>
      <x:c r="P18" s="41"/>
    </x:row>
    <x:row r="19">
      <x:c r="A19" s="41"/>
      <x:c r="B19" s="41"/>
      <x:c r="C19" s="41"/>
      <x:c r="D19" s="41"/>
      <x:c r="E19" s="41"/>
      <x:c r="F19" s="41"/>
      <x:c r="G19" s="41"/>
      <x:c r="H19" s="41"/>
      <x:c r="I19" s="41"/>
      <x:c r="J19" s="41"/>
      <x:c r="K19" s="41"/>
      <x:c r="L19" s="41"/>
      <x:c r="M19" s="41"/>
      <x:c r="N19" s="41"/>
      <x:c r="O19" s="41"/>
      <x:c r="P19" s="41"/>
    </x:row>
    <x:row r="20">
      <x:c r="A20" s="41"/>
      <x:c r="B20" s="41"/>
      <x:c r="C20" s="41"/>
      <x:c r="D20" s="41"/>
      <x:c r="E20" s="41"/>
      <x:c r="F20" s="41"/>
      <x:c r="G20" s="41"/>
      <x:c r="H20" s="41"/>
      <x:c r="I20" s="41"/>
      <x:c r="J20" s="41"/>
      <x:c r="K20" s="41"/>
      <x:c r="L20" s="41"/>
      <x:c r="M20" s="41"/>
      <x:c r="N20" s="41"/>
      <x:c r="O20" s="41"/>
      <x:c r="P20" s="41"/>
    </x:row>
    <x:row r="21">
      <x:c r="A21" s="41"/>
      <x:c r="B21" s="41"/>
      <x:c r="C21" s="41"/>
      <x:c r="D21" s="41"/>
      <x:c r="E21" s="41"/>
      <x:c r="F21" s="41"/>
      <x:c r="G21" s="41"/>
      <x:c r="H21" s="41"/>
      <x:c r="I21" s="41"/>
      <x:c r="J21" s="41"/>
      <x:c r="K21" s="41"/>
      <x:c r="L21" s="41"/>
      <x:c r="M21" s="41"/>
      <x:c r="N21" s="41"/>
      <x:c r="O21" s="41"/>
      <x:c r="P21" s="41"/>
    </x:row>
    <x:row r="22">
      <x:c r="A22" s="41"/>
      <x:c r="B22" s="41"/>
      <x:c r="C22" s="41"/>
      <x:c r="D22" s="41"/>
      <x:c r="E22" s="41"/>
      <x:c r="F22" s="41"/>
      <x:c r="G22" s="41"/>
      <x:c r="H22" s="41"/>
      <x:c r="I22" s="41"/>
      <x:c r="J22" s="41"/>
      <x:c r="K22" s="41"/>
      <x:c r="L22" s="41"/>
      <x:c r="M22" s="41"/>
      <x:c r="N22" s="41"/>
      <x:c r="O22" s="41"/>
      <x:c r="P22" s="41"/>
    </x:row>
    <x:row r="23">
      <x:c r="A23" s="41"/>
      <x:c r="B23" s="41"/>
      <x:c r="C23" s="41"/>
      <x:c r="D23" s="41"/>
      <x:c r="E23" s="41"/>
      <x:c r="F23" s="41"/>
      <x:c r="G23" s="41"/>
      <x:c r="H23" s="41"/>
      <x:c r="I23" s="41"/>
      <x:c r="J23" s="41"/>
      <x:c r="K23" s="41"/>
      <x:c r="L23" s="41"/>
      <x:c r="M23" s="41"/>
      <x:c r="N23" s="41"/>
      <x:c r="O23" s="41"/>
      <x:c r="P23" s="41"/>
    </x:row>
    <x:row r="24">
      <x:c r="A24" s="41"/>
      <x:c r="B24" s="41"/>
      <x:c r="C24" s="41"/>
      <x:c r="D24" s="41"/>
      <x:c r="E24" s="41"/>
      <x:c r="F24" s="41"/>
      <x:c r="G24" s="41"/>
      <x:c r="H24" s="41"/>
      <x:c r="I24" s="41"/>
      <x:c r="J24" s="41"/>
      <x:c r="K24" s="41"/>
      <x:c r="L24" s="41"/>
      <x:c r="M24" s="41"/>
      <x:c r="N24" s="41"/>
      <x:c r="O24" s="41"/>
      <x:c r="P24" s="41"/>
    </x:row>
    <x:row r="25">
      <x:c r="A25" s="41"/>
      <x:c r="B25" s="41"/>
      <x:c r="C25" s="41"/>
      <x:c r="D25" s="41"/>
      <x:c r="E25" s="41"/>
      <x:c r="F25" s="41"/>
      <x:c r="G25" s="41"/>
      <x:c r="H25" s="41"/>
      <x:c r="I25" s="41"/>
      <x:c r="J25" s="41"/>
      <x:c r="K25" s="41"/>
      <x:c r="L25" s="41"/>
      <x:c r="M25" s="41"/>
      <x:c r="N25" s="41"/>
      <x:c r="O25" s="41"/>
      <x:c r="P25" s="41"/>
    </x:row>
    <x:row r="26">
      <x:c r="A26" s="41"/>
      <x:c r="B26" s="41"/>
      <x:c r="C26" s="41"/>
      <x:c r="D26" s="41"/>
      <x:c r="E26" s="41"/>
      <x:c r="F26" s="41"/>
      <x:c r="G26" s="41"/>
      <x:c r="H26" s="41"/>
      <x:c r="I26" s="41"/>
      <x:c r="J26" s="41"/>
      <x:c r="K26" s="41"/>
      <x:c r="L26" s="41"/>
      <x:c r="M26" s="41"/>
      <x:c r="N26" s="41"/>
      <x:c r="O26" s="41"/>
      <x:c r="P26" s="41"/>
    </x:row>
    <x:row r="27">
      <x:c r="A27" s="41"/>
      <x:c r="B27" s="136" t="str">
        <x:v>Deloitte South Africa, 2025 country findings</x:v>
      </x:c>
      <x:c r="C27" s="136"/>
      <x:c r="D27" s="136"/>
      <x:c r="E27" s="136"/>
      <x:c r="F27" s="136"/>
      <x:c r="G27" s="136"/>
      <x:c r="H27" s="136"/>
      <x:c r="I27" s="41"/>
      <x:c r="J27" s="136" t="str">
        <x:v>Intelligent.com employer survey, Aug 2024 · n=966 business leaders</x:v>
      </x:c>
      <x:c r="K27" s="136"/>
      <x:c r="L27" s="136"/>
      <x:c r="M27" s="136"/>
      <x:c r="N27" s="136"/>
      <x:c r="O27" s="136"/>
      <x:c r="P27" s="136"/>
    </x:row>
    <x:row r="28">
      <x:c r="A28" s="41"/>
      <x:c r="B28" s="136"/>
      <x:c r="C28" s="136"/>
      <x:c r="D28" s="136"/>
      <x:c r="E28" s="136"/>
      <x:c r="F28" s="136"/>
      <x:c r="G28" s="136"/>
      <x:c r="H28" s="136"/>
      <x:c r="I28" s="41"/>
      <x:c r="J28" s="136"/>
      <x:c r="K28" s="136"/>
      <x:c r="L28" s="136"/>
      <x:c r="M28" s="136"/>
      <x:c r="N28" s="136"/>
      <x:c r="O28" s="136"/>
      <x:c r="P28" s="136"/>
    </x:row>
    <x:row r="29">
      <x:c r="A29" s="41"/>
      <x:c r="B29" s="101" t="str">
        <x:v>South African labour-market pressure</x:v>
      </x:c>
      <x:c r="C29" s="101"/>
      <x:c r="D29" s="101"/>
      <x:c r="E29" s="101"/>
      <x:c r="F29" s="101"/>
      <x:c r="G29" s="101"/>
      <x:c r="H29" s="101"/>
      <x:c r="I29" s="41"/>
      <x:c r="J29" s="101" t="str">
        <x:v>Career progression is not one-dimensional</x:v>
      </x:c>
      <x:c r="K29" s="101"/>
      <x:c r="L29" s="101"/>
      <x:c r="M29" s="101"/>
      <x:c r="N29" s="101"/>
      <x:c r="O29" s="101"/>
      <x:c r="P29" s="101"/>
    </x:row>
    <x:row r="30">
      <x:c r="A30" s="41"/>
      <x:c r="B30" s="101"/>
      <x:c r="C30" s="101"/>
      <x:c r="D30" s="101"/>
      <x:c r="E30" s="101"/>
      <x:c r="F30" s="101"/>
      <x:c r="G30" s="101"/>
      <x:c r="H30" s="101"/>
      <x:c r="I30" s="41"/>
      <x:c r="J30" s="101"/>
      <x:c r="K30" s="101"/>
      <x:c r="L30" s="101"/>
      <x:c r="M30" s="101"/>
      <x:c r="N30" s="101"/>
      <x:c r="O30" s="101"/>
      <x:c r="P30" s="101"/>
    </x:row>
    <x:row r="31">
      <x:c r="A31" s="41"/>
      <x:c r="B31" s="41"/>
      <x:c r="C31" s="41"/>
      <x:c r="D31" s="41"/>
      <x:c r="E31" s="41"/>
      <x:c r="F31" s="41"/>
      <x:c r="G31" s="41"/>
      <x:c r="H31" s="41"/>
      <x:c r="I31" s="41"/>
      <x:c r="J31" s="41"/>
      <x:c r="K31" s="41"/>
      <x:c r="L31" s="41"/>
      <x:c r="M31" s="41"/>
      <x:c r="N31" s="41"/>
      <x:c r="O31" s="41"/>
      <x:c r="P31" s="41"/>
    </x:row>
    <x:row r="32">
      <x:c r="A32" s="41"/>
      <x:c r="B32" s="41"/>
      <x:c r="C32" s="41"/>
      <x:c r="D32" s="41"/>
      <x:c r="E32" s="41"/>
      <x:c r="F32" s="41"/>
      <x:c r="G32" s="41"/>
      <x:c r="H32" s="41"/>
      <x:c r="I32" s="41"/>
      <x:c r="J32" s="41"/>
      <x:c r="K32" s="41"/>
      <x:c r="L32" s="41"/>
      <x:c r="M32" s="41"/>
      <x:c r="N32" s="41"/>
      <x:c r="O32" s="41"/>
      <x:c r="P32" s="41"/>
    </x:row>
    <x:row r="33">
      <x:c r="A33" s="41"/>
      <x:c r="B33" s="41"/>
      <x:c r="C33" s="41"/>
      <x:c r="D33" s="41"/>
      <x:c r="E33" s="41"/>
      <x:c r="F33" s="41"/>
      <x:c r="G33" s="41"/>
      <x:c r="H33" s="41"/>
      <x:c r="I33" s="41"/>
      <x:c r="J33" s="41"/>
      <x:c r="K33" s="41"/>
      <x:c r="L33" s="41"/>
      <x:c r="M33" s="41"/>
      <x:c r="N33" s="41"/>
      <x:c r="O33" s="41"/>
      <x:c r="P33" s="41"/>
    </x:row>
    <x:row r="34">
      <x:c r="A34" s="41"/>
      <x:c r="B34" s="41"/>
      <x:c r="C34" s="41"/>
      <x:c r="D34" s="41"/>
      <x:c r="E34" s="41"/>
      <x:c r="F34" s="41"/>
      <x:c r="G34" s="41"/>
      <x:c r="H34" s="41"/>
      <x:c r="I34" s="41"/>
      <x:c r="J34" s="41"/>
      <x:c r="K34" s="41"/>
      <x:c r="L34" s="41"/>
      <x:c r="M34" s="41"/>
      <x:c r="N34" s="41"/>
      <x:c r="O34" s="41"/>
      <x:c r="P34" s="41"/>
    </x:row>
    <x:row r="35">
      <x:c r="A35" s="41"/>
      <x:c r="B35" s="41"/>
      <x:c r="C35" s="41"/>
      <x:c r="D35" s="41"/>
      <x:c r="E35" s="41"/>
      <x:c r="F35" s="41"/>
      <x:c r="G35" s="41"/>
      <x:c r="H35" s="41"/>
      <x:c r="I35" s="41"/>
      <x:c r="J35" s="41"/>
      <x:c r="K35" s="41"/>
      <x:c r="L35" s="41"/>
      <x:c r="M35" s="41"/>
      <x:c r="N35" s="41"/>
      <x:c r="O35" s="41"/>
      <x:c r="P35" s="41"/>
    </x:row>
    <x:row r="36">
      <x:c r="A36" s="41"/>
      <x:c r="B36" s="41"/>
      <x:c r="C36" s="41"/>
      <x:c r="D36" s="41"/>
      <x:c r="E36" s="41"/>
      <x:c r="F36" s="41"/>
      <x:c r="G36" s="41"/>
      <x:c r="H36" s="41"/>
      <x:c r="I36" s="41"/>
      <x:c r="J36" s="41"/>
      <x:c r="K36" s="41"/>
      <x:c r="L36" s="41"/>
      <x:c r="M36" s="41"/>
      <x:c r="N36" s="41"/>
      <x:c r="O36" s="41"/>
      <x:c r="P36" s="41"/>
    </x:row>
    <x:row r="37">
      <x:c r="A37" s="41"/>
      <x:c r="B37" s="41"/>
      <x:c r="C37" s="41"/>
      <x:c r="D37" s="41"/>
      <x:c r="E37" s="41"/>
      <x:c r="F37" s="41"/>
      <x:c r="G37" s="41"/>
      <x:c r="H37" s="41"/>
      <x:c r="I37" s="41"/>
      <x:c r="J37" s="41"/>
      <x:c r="K37" s="41"/>
      <x:c r="L37" s="41"/>
      <x:c r="M37" s="41"/>
      <x:c r="N37" s="41"/>
      <x:c r="O37" s="41"/>
      <x:c r="P37" s="41"/>
    </x:row>
    <x:row r="38">
      <x:c r="A38" s="41"/>
      <x:c r="B38" s="41"/>
      <x:c r="C38" s="41"/>
      <x:c r="D38" s="41"/>
      <x:c r="E38" s="41"/>
      <x:c r="F38" s="41"/>
      <x:c r="G38" s="41"/>
      <x:c r="H38" s="41"/>
      <x:c r="I38" s="41"/>
      <x:c r="J38" s="41"/>
      <x:c r="K38" s="41"/>
      <x:c r="L38" s="41"/>
      <x:c r="M38" s="41"/>
      <x:c r="N38" s="41"/>
      <x:c r="O38" s="41"/>
      <x:c r="P38" s="41"/>
    </x:row>
    <x:row r="39">
      <x:c r="A39" s="41"/>
      <x:c r="B39" s="41"/>
      <x:c r="C39" s="41"/>
      <x:c r="D39" s="41"/>
      <x:c r="E39" s="41"/>
      <x:c r="F39" s="41"/>
      <x:c r="G39" s="41"/>
      <x:c r="H39" s="41"/>
      <x:c r="I39" s="41"/>
      <x:c r="J39" s="41"/>
      <x:c r="K39" s="41"/>
      <x:c r="L39" s="41"/>
      <x:c r="M39" s="41"/>
      <x:c r="N39" s="41"/>
      <x:c r="O39" s="41"/>
      <x:c r="P39" s="41"/>
    </x:row>
    <x:row r="40">
      <x:c r="A40" s="41"/>
      <x:c r="B40" s="41"/>
      <x:c r="C40" s="41"/>
      <x:c r="D40" s="41"/>
      <x:c r="E40" s="41"/>
      <x:c r="F40" s="41"/>
      <x:c r="G40" s="41"/>
      <x:c r="H40" s="41"/>
      <x:c r="I40" s="41"/>
      <x:c r="J40" s="41"/>
      <x:c r="K40" s="41"/>
      <x:c r="L40" s="41"/>
      <x:c r="M40" s="41"/>
      <x:c r="N40" s="41"/>
      <x:c r="O40" s="41"/>
      <x:c r="P40" s="41"/>
    </x:row>
    <x:row r="41">
      <x:c r="A41" s="41"/>
      <x:c r="B41" s="41"/>
      <x:c r="C41" s="41"/>
      <x:c r="D41" s="41"/>
      <x:c r="E41" s="41"/>
      <x:c r="F41" s="41"/>
      <x:c r="G41" s="41"/>
      <x:c r="H41" s="41"/>
      <x:c r="I41" s="41"/>
      <x:c r="J41" s="41"/>
      <x:c r="K41" s="41"/>
      <x:c r="L41" s="41"/>
      <x:c r="M41" s="41"/>
      <x:c r="N41" s="41"/>
      <x:c r="O41" s="41"/>
      <x:c r="P41" s="41"/>
    </x:row>
    <x:row r="42">
      <x:c r="A42" s="41"/>
      <x:c r="B42" s="41"/>
      <x:c r="C42" s="41"/>
      <x:c r="D42" s="41"/>
      <x:c r="E42" s="41"/>
      <x:c r="F42" s="41"/>
      <x:c r="G42" s="41"/>
      <x:c r="H42" s="41"/>
      <x:c r="I42" s="41"/>
      <x:c r="J42" s="41"/>
      <x:c r="K42" s="41"/>
      <x:c r="L42" s="41"/>
      <x:c r="M42" s="41"/>
      <x:c r="N42" s="41"/>
      <x:c r="O42" s="41"/>
      <x:c r="P42" s="41"/>
    </x:row>
    <x:row r="43">
      <x:c r="A43" s="41"/>
      <x:c r="B43" s="41"/>
      <x:c r="C43" s="41"/>
      <x:c r="D43" s="41"/>
      <x:c r="E43" s="41"/>
      <x:c r="F43" s="41"/>
      <x:c r="G43" s="41"/>
      <x:c r="H43" s="41"/>
      <x:c r="I43" s="41"/>
      <x:c r="J43" s="41"/>
      <x:c r="K43" s="41"/>
      <x:c r="L43" s="41"/>
      <x:c r="M43" s="41"/>
      <x:c r="N43" s="41"/>
      <x:c r="O43" s="41"/>
      <x:c r="P43" s="41"/>
    </x:row>
    <x:row r="44">
      <x:c r="A44" s="41"/>
      <x:c r="B44" s="41"/>
      <x:c r="C44" s="41"/>
      <x:c r="D44" s="41"/>
      <x:c r="E44" s="41"/>
      <x:c r="F44" s="41"/>
      <x:c r="G44" s="41"/>
      <x:c r="H44" s="41"/>
      <x:c r="I44" s="41"/>
      <x:c r="J44" s="41"/>
      <x:c r="K44" s="41"/>
      <x:c r="L44" s="41"/>
      <x:c r="M44" s="41"/>
      <x:c r="N44" s="41"/>
      <x:c r="O44" s="41"/>
      <x:c r="P44" s="41"/>
    </x:row>
    <x:row r="45">
      <x:c r="A45" s="41"/>
      <x:c r="B45" s="41"/>
      <x:c r="C45" s="41"/>
      <x:c r="D45" s="41"/>
      <x:c r="E45" s="41"/>
      <x:c r="F45" s="41"/>
      <x:c r="G45" s="41"/>
      <x:c r="H45" s="41"/>
      <x:c r="I45" s="41"/>
      <x:c r="J45" s="41"/>
      <x:c r="K45" s="41"/>
      <x:c r="L45" s="41"/>
      <x:c r="M45" s="41"/>
      <x:c r="N45" s="41"/>
      <x:c r="O45" s="41"/>
      <x:c r="P45" s="41"/>
    </x:row>
    <x:row r="46">
      <x:c r="A46" s="41"/>
      <x:c r="B46" s="107" t="str">
        <x:v>READING THE EVIDENCE
South African Gen Z respondents place very high value on formal training, on-the-job learning, mentorship and feedback. Employer survey data separately reports motivation, professionalism, communication and feedback as common reasons some recent graduate hires did not work out. Read together, the evidence points to a management opportunity around clearer expectations, stronger onboarding, frequent feedback and visible development pathways.</x:v>
      </x:c>
      <x:c r="C46" s="107"/>
      <x:c r="D46" s="107"/>
      <x:c r="E46" s="107"/>
      <x:c r="F46" s="107"/>
      <x:c r="G46" s="107"/>
      <x:c r="H46" s="107"/>
      <x:c r="I46" s="107"/>
      <x:c r="J46" s="107"/>
      <x:c r="K46" s="107"/>
      <x:c r="L46" s="107"/>
      <x:c r="M46" s="107"/>
      <x:c r="N46" s="107"/>
      <x:c r="O46" s="107"/>
      <x:c r="P46" s="107"/>
    </x:row>
    <x:row r="47">
      <x:c r="A47" s="41"/>
      <x:c r="B47" s="107"/>
      <x:c r="C47" s="107"/>
      <x:c r="D47" s="107"/>
      <x:c r="E47" s="107"/>
      <x:c r="F47" s="107"/>
      <x:c r="G47" s="107"/>
      <x:c r="H47" s="107"/>
      <x:c r="I47" s="107"/>
      <x:c r="J47" s="107"/>
      <x:c r="K47" s="107"/>
      <x:c r="L47" s="107"/>
      <x:c r="M47" s="107"/>
      <x:c r="N47" s="107"/>
      <x:c r="O47" s="107"/>
      <x:c r="P47" s="107"/>
    </x:row>
    <x:row r="48">
      <x:c r="A48" s="41"/>
      <x:c r="B48" s="107"/>
      <x:c r="C48" s="107"/>
      <x:c r="D48" s="107"/>
      <x:c r="E48" s="107"/>
      <x:c r="F48" s="107"/>
      <x:c r="G48" s="107"/>
      <x:c r="H48" s="107"/>
      <x:c r="I48" s="107"/>
      <x:c r="J48" s="107"/>
      <x:c r="K48" s="107"/>
      <x:c r="L48" s="107"/>
      <x:c r="M48" s="107"/>
      <x:c r="N48" s="107"/>
      <x:c r="O48" s="107"/>
      <x:c r="P48" s="107"/>
    </x:row>
    <x:row r="49">
      <x:c r="A49" s="41"/>
      <x:c r="B49" s="107"/>
      <x:c r="C49" s="107"/>
      <x:c r="D49" s="107"/>
      <x:c r="E49" s="107"/>
      <x:c r="F49" s="107"/>
      <x:c r="G49" s="107"/>
      <x:c r="H49" s="107"/>
      <x:c r="I49" s="107"/>
      <x:c r="J49" s="107"/>
      <x:c r="K49" s="107"/>
      <x:c r="L49" s="107"/>
      <x:c r="M49" s="107"/>
      <x:c r="N49" s="107"/>
      <x:c r="O49" s="107"/>
      <x:c r="P49" s="107"/>
    </x:row>
    <x:row r="50">
      <x:c r="A50" s="41"/>
      <x:c r="B50" s="107"/>
      <x:c r="C50" s="107"/>
      <x:c r="D50" s="107"/>
      <x:c r="E50" s="107"/>
      <x:c r="F50" s="107"/>
      <x:c r="G50" s="107"/>
      <x:c r="H50" s="107"/>
      <x:c r="I50" s="107"/>
      <x:c r="J50" s="107"/>
      <x:c r="K50" s="107"/>
      <x:c r="L50" s="107"/>
      <x:c r="M50" s="107"/>
      <x:c r="N50" s="107"/>
      <x:c r="O50" s="107"/>
      <x:c r="P50" s="107"/>
    </x:row>
    <x:row r="51">
      <x:c r="A51" s="41"/>
      <x:c r="B51" s="41"/>
      <x:c r="C51" s="41"/>
      <x:c r="D51" s="41"/>
      <x:c r="E51" s="41"/>
      <x:c r="F51" s="41"/>
      <x:c r="G51" s="41"/>
      <x:c r="H51" s="41"/>
      <x:c r="I51" s="41"/>
      <x:c r="J51" s="41"/>
      <x:c r="K51" s="41"/>
      <x:c r="L51" s="41"/>
      <x:c r="M51" s="41"/>
      <x:c r="N51" s="41"/>
      <x:c r="O51" s="41"/>
      <x:c r="P51" s="41"/>
    </x:row>
    <x:row r="52">
      <x:c r="A52" s="41"/>
      <x:c r="B52" s="115" t="str">
        <x:v>MANAGER SUPPORT GAP
50% of global Gen Z respondents want managers to teach and mentor them, while 36% say managers actually do.
Calculated gap: 14 percentage points.</x:v>
      </x:c>
      <x:c r="C52" s="115"/>
      <x:c r="D52" s="115"/>
      <x:c r="E52" s="115"/>
      <x:c r="F52" s="115"/>
      <x:c r="G52" s="115"/>
      <x:c r="H52" s="41"/>
      <x:c r="I52" s="123" t="str">
        <x:v>FINANCIAL PRESSURE AFFECTS CAREER DECISIONS
55% of global Gen Z respondents delayed major life decisions because of finances. 69% say housing affordability or availability affects career decisions.
Source: Deloitte Global 2026.</x:v>
      </x:c>
      <x:c r="J52" s="123"/>
      <x:c r="K52" s="123"/>
      <x:c r="L52" s="123"/>
      <x:c r="M52" s="123"/>
      <x:c r="N52" s="123"/>
      <x:c r="O52" s="123"/>
      <x:c r="P52" s="123"/>
    </x:row>
    <x:row r="53">
      <x:c r="A53" s="41"/>
      <x:c r="B53" s="115"/>
      <x:c r="C53" s="115"/>
      <x:c r="D53" s="115"/>
      <x:c r="E53" s="115"/>
      <x:c r="F53" s="115"/>
      <x:c r="G53" s="115"/>
      <x:c r="H53" s="41"/>
      <x:c r="I53" s="123"/>
      <x:c r="J53" s="123"/>
      <x:c r="K53" s="123"/>
      <x:c r="L53" s="123"/>
      <x:c r="M53" s="123"/>
      <x:c r="N53" s="123"/>
      <x:c r="O53" s="123"/>
      <x:c r="P53" s="123"/>
    </x:row>
    <x:row r="54">
      <x:c r="A54" s="41"/>
      <x:c r="B54" s="115"/>
      <x:c r="C54" s="115"/>
      <x:c r="D54" s="115"/>
      <x:c r="E54" s="115"/>
      <x:c r="F54" s="115"/>
      <x:c r="G54" s="115"/>
      <x:c r="H54" s="41"/>
      <x:c r="I54" s="123"/>
      <x:c r="J54" s="123"/>
      <x:c r="K54" s="123"/>
      <x:c r="L54" s="123"/>
      <x:c r="M54" s="123"/>
      <x:c r="N54" s="123"/>
      <x:c r="O54" s="123"/>
      <x:c r="P54" s="123"/>
    </x:row>
    <x:row r="55">
      <x:c r="A55" s="41"/>
      <x:c r="B55" s="115"/>
      <x:c r="C55" s="115"/>
      <x:c r="D55" s="115"/>
      <x:c r="E55" s="115"/>
      <x:c r="F55" s="115"/>
      <x:c r="G55" s="115"/>
      <x:c r="H55" s="41"/>
      <x:c r="I55" s="123"/>
      <x:c r="J55" s="123"/>
      <x:c r="K55" s="123"/>
      <x:c r="L55" s="123"/>
      <x:c r="M55" s="123"/>
      <x:c r="N55" s="123"/>
      <x:c r="O55" s="123"/>
      <x:c r="P55" s="123"/>
    </x:row>
    <x:row r="56">
      <x:c r="A56" s="41"/>
      <x:c r="B56" s="115"/>
      <x:c r="C56" s="115"/>
      <x:c r="D56" s="115"/>
      <x:c r="E56" s="115"/>
      <x:c r="F56" s="115"/>
      <x:c r="G56" s="115"/>
      <x:c r="H56" s="41"/>
      <x:c r="I56" s="123"/>
      <x:c r="J56" s="123"/>
      <x:c r="K56" s="123"/>
      <x:c r="L56" s="123"/>
      <x:c r="M56" s="123"/>
      <x:c r="N56" s="123"/>
      <x:c r="O56" s="123"/>
      <x:c r="P56" s="123"/>
    </x:row>
    <x:row r="57">
      <x:c r="A57" s="41"/>
      <x:c r="B57" s="115"/>
      <x:c r="C57" s="115"/>
      <x:c r="D57" s="115"/>
      <x:c r="E57" s="115"/>
      <x:c r="F57" s="115"/>
      <x:c r="G57" s="115"/>
      <x:c r="H57" s="41"/>
      <x:c r="I57" s="123"/>
      <x:c r="J57" s="123"/>
      <x:c r="K57" s="123"/>
      <x:c r="L57" s="123"/>
      <x:c r="M57" s="123"/>
      <x:c r="N57" s="123"/>
      <x:c r="O57" s="123"/>
      <x:c r="P57" s="123"/>
    </x:row>
    <x:row r="58">
      <x:c r="A58" s="41"/>
      <x:c r="B58" s="115"/>
      <x:c r="C58" s="115"/>
      <x:c r="D58" s="115"/>
      <x:c r="E58" s="115"/>
      <x:c r="F58" s="115"/>
      <x:c r="G58" s="115"/>
      <x:c r="H58" s="41"/>
      <x:c r="I58" s="123"/>
      <x:c r="J58" s="123"/>
      <x:c r="K58" s="123"/>
      <x:c r="L58" s="123"/>
      <x:c r="M58" s="123"/>
      <x:c r="N58" s="123"/>
      <x:c r="O58" s="123"/>
      <x:c r="P58" s="123"/>
    </x:row>
    <x:row r="59">
      <x:c r="A59" s="41"/>
      <x:c r="B59" s="41"/>
      <x:c r="C59" s="41"/>
      <x:c r="D59" s="41"/>
      <x:c r="E59" s="41"/>
      <x:c r="F59" s="41"/>
      <x:c r="G59" s="41"/>
      <x:c r="H59" s="41"/>
      <x:c r="I59" s="41"/>
      <x:c r="J59" s="41"/>
      <x:c r="K59" s="41"/>
      <x:c r="L59" s="41"/>
      <x:c r="M59" s="41"/>
      <x:c r="N59" s="41"/>
      <x:c r="O59" s="41"/>
      <x:c r="P59" s="41"/>
    </x:row>
    <x:row r="60">
      <x:c r="A60" s="41"/>
      <x:c r="B60" s="130" t="str">
        <x:v>All figures are published values. Different sources and populations are kept separate. See Source Metrics and Sources for geography, population, period and URLs.</x:v>
      </x:c>
      <x:c r="C60" s="130"/>
      <x:c r="D60" s="130"/>
      <x:c r="E60" s="130"/>
      <x:c r="F60" s="130"/>
      <x:c r="G60" s="130"/>
      <x:c r="H60" s="130"/>
      <x:c r="I60" s="130"/>
      <x:c r="J60" s="130"/>
      <x:c r="K60" s="130"/>
      <x:c r="L60" s="130"/>
      <x:c r="M60" s="130"/>
      <x:c r="N60" s="130"/>
      <x:c r="O60" s="130"/>
      <x:c r="P60" s="130"/>
    </x:row>
    <x:row r="61">
      <x:c r="A61" s="41"/>
      <x:c r="B61" s="130"/>
      <x:c r="C61" s="130"/>
      <x:c r="D61" s="130"/>
      <x:c r="E61" s="130"/>
      <x:c r="F61" s="130"/>
      <x:c r="G61" s="130"/>
      <x:c r="H61" s="130"/>
      <x:c r="I61" s="130"/>
      <x:c r="J61" s="130"/>
      <x:c r="K61" s="130"/>
      <x:c r="L61" s="130"/>
      <x:c r="M61" s="130"/>
      <x:c r="N61" s="130"/>
      <x:c r="O61" s="130"/>
      <x:c r="P61" s="130"/>
    </x:row>
    <x:row r="62">
      <x:c r="A62" s="41"/>
      <x:c r="B62" s="41"/>
      <x:c r="C62" s="41"/>
      <x:c r="D62" s="41"/>
      <x:c r="E62" s="41"/>
      <x:c r="F62" s="41"/>
      <x:c r="G62" s="41"/>
      <x:c r="H62" s="41"/>
      <x:c r="I62" s="41"/>
      <x:c r="J62" s="41"/>
      <x:c r="K62" s="41"/>
      <x:c r="L62" s="41"/>
      <x:c r="M62" s="41"/>
      <x:c r="N62" s="41"/>
      <x:c r="O62" s="41"/>
      <x:c r="P62" s="41"/>
    </x:row>
    <x:row r="63">
      <x:c r="B63" s="143" t="str">
        <x:v>Province employment change | Q1 2025 vs Q4 2024</x:v>
      </x:c>
      <x:c r="C63" s="143"/>
      <x:c r="D63" s="143"/>
      <x:c r="E63" s="143"/>
      <x:c r="F63" s="143"/>
      <x:c r="G63" s="143"/>
      <x:c r="H63" s="143"/>
      <x:c r="I63" s="143"/>
      <x:c r="J63" s="143"/>
      <x:c r="K63" s="143"/>
      <x:c r="L63" s="143"/>
      <x:c r="M63" s="143"/>
      <x:c r="N63" s="143"/>
      <x:c r="O63" s="143"/>
      <x:c r="P63" s="143"/>
    </x:row>
    <x:row r="64">
      <x:c r="B64" s="143"/>
      <x:c r="C64" s="143"/>
      <x:c r="D64" s="143"/>
      <x:c r="E64" s="143"/>
      <x:c r="F64" s="143"/>
      <x:c r="G64" s="143"/>
      <x:c r="H64" s="143"/>
      <x:c r="I64" s="143"/>
      <x:c r="J64" s="143"/>
      <x:c r="K64" s="143"/>
      <x:c r="L64" s="143"/>
      <x:c r="M64" s="143"/>
      <x:c r="N64" s="143"/>
      <x:c r="O64" s="143"/>
      <x:c r="P64" s="143"/>
    </x:row>
    <x:row r="65">
      <x:c r="I65" s="148" t="str">
        <x:f>"Limpopo"&amp;CHAR(10)&amp;IF('Province Context'!B8&gt;0,"+","")&amp;TEXT('Province Context'!B8,"0")&amp;"k"</x:f>
        <x:v>Limpopo
-55k</x:v>
      </x:c>
      <x:c r="J65" s="148"/>
      <x:c r="K65" s="148"/>
      <x:c r="N65" s="166" t="str">
        <x:v>CONTEXT NOTE
These are quarter-to-quarter employment changes for all employed persons, not Gen Z retention rates.
Western Cape, Gauteng and Free State recorded increases; the other provinces shown recorded decreases.
Source: Bizcommunity citing Statistics South Africa QLFS.</x:v>
      </x:c>
      <x:c r="O65" s="166"/>
      <x:c r="P65" s="166"/>
    </x:row>
    <x:row r="66">
      <x:c r="I66" s="148"/>
      <x:c r="J66" s="148"/>
      <x:c r="K66" s="148"/>
      <x:c r="N66" s="166"/>
      <x:c r="O66" s="166"/>
      <x:c r="P66" s="166"/>
    </x:row>
    <x:row r="67">
      <x:c r="I67" s="148"/>
      <x:c r="J67" s="148"/>
      <x:c r="K67" s="148"/>
      <x:c r="N67" s="166"/>
      <x:c r="O67" s="166"/>
      <x:c r="P67" s="166"/>
    </x:row>
    <x:row r="68">
      <x:c r="D68" s="153" t="str">
        <x:f>"North West"&amp;CHAR(10)&amp;IF('Province Context'!B7&gt;0,"+","")&amp;TEXT('Province Context'!B7,"0")&amp;"k"</x:f>
        <x:v>North West
-57k</x:v>
      </x:c>
      <x:c r="E68" s="153"/>
      <x:c r="F68" s="153"/>
      <x:c r="G68" s="158" t="str">
        <x:f>"Gauteng"&amp;CHAR(10)&amp;IF('Province Context'!B3&gt;0,"+","")&amp;TEXT('Province Context'!B3,"0")&amp;"k"</x:f>
        <x:v>Gauteng
+9k</x:v>
      </x:c>
      <x:c r="H68" s="158"/>
      <x:c r="I68" s="158"/>
      <x:c r="J68" s="148" t="str">
        <x:f>"Mpumalanga"&amp;CHAR(10)&amp;IF('Province Context'!B9&gt;0,"+","")&amp;TEXT('Province Context'!B9,"0")&amp;"k"</x:f>
        <x:v>Mpumalanga
-43k</x:v>
      </x:c>
      <x:c r="K68" s="148"/>
      <x:c r="L68" s="148"/>
      <x:c r="N68" s="166"/>
      <x:c r="O68" s="166"/>
      <x:c r="P68" s="166"/>
    </x:row>
    <x:row r="69">
      <x:c r="D69" s="153"/>
      <x:c r="E69" s="153"/>
      <x:c r="F69" s="153"/>
      <x:c r="G69" s="158"/>
      <x:c r="H69" s="158"/>
      <x:c r="I69" s="158"/>
      <x:c r="J69" s="148"/>
      <x:c r="K69" s="148"/>
      <x:c r="L69" s="148"/>
      <x:c r="N69" s="166"/>
      <x:c r="O69" s="166"/>
      <x:c r="P69" s="166"/>
    </x:row>
    <x:row r="70">
      <x:c r="D70" s="153"/>
      <x:c r="E70" s="153"/>
      <x:c r="F70" s="153"/>
      <x:c r="G70" s="158"/>
      <x:c r="H70" s="158"/>
      <x:c r="I70" s="158"/>
      <x:c r="J70" s="148"/>
      <x:c r="K70" s="148"/>
      <x:c r="L70" s="148"/>
      <x:c r="N70" s="166"/>
      <x:c r="O70" s="166"/>
      <x:c r="P70" s="166"/>
    </x:row>
    <x:row r="71">
      <x:c r="B71" s="163" t="str">
        <x:f>"Northern Cape"&amp;CHAR(10)&amp;IF('Province Context'!B10&gt;0,"+","")&amp;TEXT('Province Context'!B10,"0")&amp;"k"</x:f>
        <x:v>Northern Cape
-12k</x:v>
      </x:c>
      <x:c r="C71" s="163"/>
      <x:c r="D71" s="163"/>
      <x:c r="E71" s="163"/>
      <x:c r="F71" s="158" t="str">
        <x:f>"Free State"&amp;CHAR(10)&amp;IF('Province Context'!B4&gt;0,"+","")&amp;TEXT('Province Context'!B4,"0")&amp;"k"</x:f>
        <x:v>Free State
+4k</x:v>
      </x:c>
      <x:c r="G71" s="158"/>
      <x:c r="H71" s="158"/>
      <x:c r="I71" s="153" t="str">
        <x:f>"KwaZulu-Natal"&amp;CHAR(10)&amp;IF('Province Context'!B5&gt;0,"+","")&amp;TEXT('Province Context'!B5,"0")&amp;"k"</x:f>
        <x:v>KwaZulu-Natal
-104k</x:v>
      </x:c>
      <x:c r="J71" s="153"/>
      <x:c r="K71" s="153"/>
      <x:c r="L71" s="153"/>
      <x:c r="M71" s="153"/>
      <x:c r="N71" s="166"/>
      <x:c r="O71" s="166"/>
      <x:c r="P71" s="166"/>
    </x:row>
    <x:row r="72">
      <x:c r="B72" s="163"/>
      <x:c r="C72" s="163"/>
      <x:c r="D72" s="163"/>
      <x:c r="E72" s="163"/>
      <x:c r="F72" s="158"/>
      <x:c r="G72" s="158"/>
      <x:c r="H72" s="158"/>
      <x:c r="I72" s="153"/>
      <x:c r="J72" s="153"/>
      <x:c r="K72" s="153"/>
      <x:c r="L72" s="153"/>
      <x:c r="M72" s="153"/>
      <x:c r="N72" s="166"/>
      <x:c r="O72" s="166"/>
      <x:c r="P72" s="166"/>
    </x:row>
    <x:row r="73">
      <x:c r="B73" s="163"/>
      <x:c r="C73" s="163"/>
      <x:c r="D73" s="163"/>
      <x:c r="E73" s="163"/>
      <x:c r="F73" s="158"/>
      <x:c r="G73" s="158"/>
      <x:c r="H73" s="158"/>
      <x:c r="I73" s="153"/>
      <x:c r="J73" s="153"/>
      <x:c r="K73" s="153"/>
      <x:c r="L73" s="153"/>
      <x:c r="M73" s="153"/>
      <x:c r="N73" s="166"/>
      <x:c r="O73" s="166"/>
      <x:c r="P73" s="166"/>
    </x:row>
    <x:row r="74">
      <x:c r="B74" s="158" t="str">
        <x:f>"Western Cape"&amp;CHAR(10)&amp;IF('Province Context'!B2&gt;0,"+","")&amp;TEXT('Province Context'!B2,"0")&amp;"k"</x:f>
        <x:v>Western Cape
+49k</x:v>
      </x:c>
      <x:c r="C74" s="158"/>
      <x:c r="D74" s="158"/>
      <x:c r="E74" s="158"/>
      <x:c r="F74" s="153" t="str">
        <x:f>"Eastern Cape"&amp;CHAR(10)&amp;IF('Province Context'!B6&gt;0,"+","")&amp;TEXT('Province Context'!B6,"0")&amp;"k"</x:f>
        <x:v>Eastern Cape
-83k</x:v>
      </x:c>
      <x:c r="G74" s="153"/>
      <x:c r="H74" s="153"/>
      <x:c r="I74" s="153"/>
      <x:c r="J74" s="153"/>
      <x:c r="N74" s="166"/>
      <x:c r="O74" s="166"/>
      <x:c r="P74" s="166"/>
    </x:row>
    <x:row r="75">
      <x:c r="B75" s="158"/>
      <x:c r="C75" s="158"/>
      <x:c r="D75" s="158"/>
      <x:c r="E75" s="158"/>
      <x:c r="F75" s="153"/>
      <x:c r="G75" s="153"/>
      <x:c r="H75" s="153"/>
      <x:c r="I75" s="153"/>
      <x:c r="J75" s="153"/>
      <x:c r="N75" s="166"/>
      <x:c r="O75" s="166"/>
      <x:c r="P75" s="166"/>
    </x:row>
    <x:row r="76">
      <x:c r="B76" s="158"/>
      <x:c r="C76" s="158"/>
      <x:c r="D76" s="158"/>
      <x:c r="E76" s="158"/>
      <x:c r="F76" s="153"/>
      <x:c r="G76" s="153"/>
      <x:c r="H76" s="153"/>
      <x:c r="I76" s="153"/>
      <x:c r="J76" s="153"/>
      <x:c r="N76" s="166"/>
      <x:c r="O76" s="166"/>
      <x:c r="P76" s="166"/>
    </x:row>
    <x:row r="78">
      <x:c r="B78" s="169" t="str">
        <x:v>Province figures are included as labour-market context only. See Province Context for the population, period and full source URL.</x:v>
      </x:c>
      <x:c r="C78" s="169"/>
      <x:c r="D78" s="169"/>
      <x:c r="E78" s="169"/>
      <x:c r="F78" s="169"/>
      <x:c r="G78" s="169"/>
      <x:c r="H78" s="169"/>
      <x:c r="I78" s="169"/>
      <x:c r="J78" s="169"/>
      <x:c r="K78" s="169"/>
      <x:c r="L78" s="169"/>
      <x:c r="M78" s="169"/>
      <x:c r="N78" s="169"/>
      <x:c r="O78" s="169"/>
      <x:c r="P78" s="169"/>
    </x:row>
    <x:row r="79">
      <x:c r="B79" s="169"/>
      <x:c r="C79" s="169"/>
      <x:c r="D79" s="169"/>
      <x:c r="E79" s="169"/>
      <x:c r="F79" s="169"/>
      <x:c r="G79" s="169"/>
      <x:c r="H79" s="169"/>
      <x:c r="I79" s="169"/>
      <x:c r="J79" s="169"/>
      <x:c r="K79" s="169"/>
      <x:c r="L79" s="169"/>
      <x:c r="M79" s="169"/>
      <x:c r="N79" s="169"/>
      <x:c r="O79" s="169"/>
      <x:c r="P79" s="169"/>
    </x:row>
  </x:sheetData>
  <x:mergeCells>
    <x:mergeCell ref="A1:P3"/>
    <x:mergeCell ref="A4:P5"/>
    <x:mergeCell ref="B7:D8"/>
    <x:mergeCell ref="B9:D10"/>
    <x:mergeCell ref="E7:G8"/>
    <x:mergeCell ref="E9:G10"/>
    <x:mergeCell ref="H7:J8"/>
    <x:mergeCell ref="H9:J10"/>
    <x:mergeCell ref="K7:M8"/>
    <x:mergeCell ref="K9:M10"/>
    <x:mergeCell ref="N7:P8"/>
    <x:mergeCell ref="N9:P10"/>
    <x:mergeCell ref="B12:H13"/>
    <x:mergeCell ref="J12:P13"/>
    <x:mergeCell ref="B29:H30"/>
    <x:mergeCell ref="J29:P30"/>
    <x:mergeCell ref="B46:P50"/>
    <x:mergeCell ref="B52:G58"/>
    <x:mergeCell ref="I52:P58"/>
    <x:mergeCell ref="B60:P61"/>
    <x:mergeCell ref="B27:H28"/>
    <x:mergeCell ref="J27:P28"/>
    <x:mergeCell ref="B63:P64"/>
    <x:mergeCell ref="I65:K67"/>
    <x:mergeCell ref="D68:F70"/>
    <x:mergeCell ref="G68:I70"/>
    <x:mergeCell ref="J68:L70"/>
    <x:mergeCell ref="B71:E73"/>
    <x:mergeCell ref="F71:H73"/>
    <x:mergeCell ref="I71:M73"/>
    <x:mergeCell ref="B74:E76"/>
    <x:mergeCell ref="F74:J76"/>
    <x:mergeCell ref="N65:P76"/>
    <x:mergeCell ref="B78:P79"/>
  </x:mergeCells>
  <x:pageMargins left="0.7" right="0.7" top="0.75" bottom="0.75" header="0.3" footer="0.3"/>
  <x:drawing xmlns:r="http://schemas.openxmlformats.org/officeDocument/2006/relationships" r:id="R6406f92b39134aaf"/>
</x:worksheet>
</file>

<file path=xl/worksheets/sheet2.xml><?xml version="1.0" encoding="utf-8"?>
<x:worksheet xmlns:x="http://schemas.openxmlformats.org/spreadsheetml/2006/main">
  <x:sheetFormatPr defaultRowHeight="15"/>
  <x:cols>
    <x:col min="1" max="1" width="12" hidden="0" customWidth="1"/>
    <x:col min="2" max="2" width="25" hidden="0" customWidth="1"/>
    <x:col min="3" max="3" width="38" hidden="0" customWidth="1"/>
    <x:col min="4" max="4" width="10" hidden="0" customWidth="1"/>
    <x:col min="5" max="5" width="12" hidden="0" customWidth="1"/>
    <x:col min="6" max="6" width="16" hidden="0" customWidth="1"/>
    <x:col min="7" max="7" width="28" hidden="0" customWidth="1"/>
    <x:col min="8" max="8" width="15" hidden="0" customWidth="1"/>
    <x:col min="9" max="9" width="24" hidden="0" customWidth="1"/>
    <x:col min="10" max="10" width="46" hidden="0" customWidth="1"/>
    <x:col min="11" max="11" width="42" hidden="0" customWidth="1"/>
  </x:cols>
  <x:sheetData>
    <x:row r="1">
      <x:c r="A1" s="6" t="str">
        <x:v>Source_ID</x:v>
      </x:c>
      <x:c r="B1" s="6" t="str">
        <x:v>Theme</x:v>
      </x:c>
      <x:c r="C1" s="6" t="str">
        <x:v>Metric</x:v>
      </x:c>
      <x:c r="D1" s="6" t="str">
        <x:v>Value</x:v>
      </x:c>
      <x:c r="E1" s="6" t="str">
        <x:v>Unit</x:v>
      </x:c>
      <x:c r="F1" s="6" t="str">
        <x:v>Geography</x:v>
      </x:c>
      <x:c r="G1" s="6" t="str">
        <x:v>Population</x:v>
      </x:c>
      <x:c r="H1" s="6" t="str">
        <x:v>Period</x:v>
      </x:c>
      <x:c r="I1" s="6" t="str">
        <x:v>Source</x:v>
      </x:c>
      <x:c r="J1" s="6" t="str">
        <x:v>Source_URL</x:v>
      </x:c>
      <x:c r="K1" s="6" t="str">
        <x:v>Notes</x:v>
      </x:c>
    </x:row>
    <x:row r="2">
      <x:c r="A2" s="14" t="str">
        <x:v>STATSSA26</x:v>
      </x:c>
      <x:c r="B2" s="14" t="str">
        <x:v>South Africa labour market</x:v>
      </x:c>
      <x:c r="C2" s="14" t="str">
        <x:v>Working-age population aged 15-34</x:v>
      </x:c>
      <x:c r="D2" s="18" t="n">
        <x:v>49.7</x:v>
      </x:c>
      <x:c r="E2" s="14" t="str">
        <x:v>percent</x:v>
      </x:c>
      <x:c r="F2" s="14" t="str">
        <x:v>South Africa</x:v>
      </x:c>
      <x:c r="G2" s="14" t="str">
        <x:v>Working-age population aged 15-64</x:v>
      </x:c>
      <x:c r="H2" s="14" t="str">
        <x:v>Q1 2026</x:v>
      </x:c>
      <x:c r="I2" s="14" t="str">
        <x:v>Statistics South Africa</x:v>
      </x:c>
      <x:c r="J2" s="14" t="str">
        <x:v>https://www.statssa.gov.za/?p=19526</x:v>
      </x:c>
      <x:c r="K2" s="14" t="str">
        <x:v>Share of working-age population aged 15-34</x:v>
      </x:c>
    </x:row>
    <x:row r="3">
      <x:c r="A3" s="14" t="str">
        <x:v>STATSSA26</x:v>
      </x:c>
      <x:c r="B3" s="14" t="str">
        <x:v>South Africa labour market</x:v>
      </x:c>
      <x:c r="C3" s="14" t="str">
        <x:v>Youth employed aged 15-34</x:v>
      </x:c>
      <x:c r="D3" s="18" t="n">
        <x:v>5.6</x:v>
      </x:c>
      <x:c r="E3" s="14" t="str">
        <x:v>million</x:v>
      </x:c>
      <x:c r="F3" s="14" t="str">
        <x:v>South Africa</x:v>
      </x:c>
      <x:c r="G3" s="14" t="str">
        <x:v>People aged 15-34</x:v>
      </x:c>
      <x:c r="H3" s="14" t="str">
        <x:v>Q1 2026</x:v>
      </x:c>
      <x:c r="I3" s="14" t="str">
        <x:v>Statistics South Africa</x:v>
      </x:c>
      <x:c r="J3" s="14" t="str">
        <x:v>https://www.statssa.gov.za/?p=19526</x:v>
      </x:c>
      <x:c r="K3" s="14" t="str">
        <x:v>Published count rounded to one decimal million</x:v>
      </x:c>
    </x:row>
    <x:row r="4">
      <x:c r="A4" s="14" t="str">
        <x:v>STATSSA26</x:v>
      </x:c>
      <x:c r="B4" s="14" t="str">
        <x:v>South Africa labour market</x:v>
      </x:c>
      <x:c r="C4" s="14" t="str">
        <x:v>Youth unemployed aged 15-34</x:v>
      </x:c>
      <x:c r="D4" s="18" t="n">
        <x:v>4.7</x:v>
      </x:c>
      <x:c r="E4" s="14" t="str">
        <x:v>million</x:v>
      </x:c>
      <x:c r="F4" s="14" t="str">
        <x:v>South Africa</x:v>
      </x:c>
      <x:c r="G4" s="14" t="str">
        <x:v>People aged 15-34</x:v>
      </x:c>
      <x:c r="H4" s="14" t="str">
        <x:v>Q1 2026</x:v>
      </x:c>
      <x:c r="I4" s="14" t="str">
        <x:v>Statistics South Africa</x:v>
      </x:c>
      <x:c r="J4" s="14" t="str">
        <x:v>https://www.statssa.gov.za/?p=19526</x:v>
      </x:c>
      <x:c r="K4" s="14" t="str">
        <x:v>Published count rounded to one decimal million</x:v>
      </x:c>
    </x:row>
    <x:row r="5">
      <x:c r="A5" s="14" t="str">
        <x:v>STATSSA26</x:v>
      </x:c>
      <x:c r="B5" s="14" t="str">
        <x:v>South Africa labour market</x:v>
      </x:c>
      <x:c r="C5" s="14" t="str">
        <x:v>Youth outside labour force aged 15-34</x:v>
      </x:c>
      <x:c r="D5" s="18" t="n">
        <x:v>10.6</x:v>
      </x:c>
      <x:c r="E5" s="14" t="str">
        <x:v>million</x:v>
      </x:c>
      <x:c r="F5" s="14" t="str">
        <x:v>South Africa</x:v>
      </x:c>
      <x:c r="G5" s="14" t="str">
        <x:v>People aged 15-34</x:v>
      </x:c>
      <x:c r="H5" s="14" t="str">
        <x:v>Q1 2026</x:v>
      </x:c>
      <x:c r="I5" s="14" t="str">
        <x:v>Statistics South Africa</x:v>
      </x:c>
      <x:c r="J5" s="14" t="str">
        <x:v>https://www.statssa.gov.za/?p=19526</x:v>
      </x:c>
      <x:c r="K5" s="14" t="str">
        <x:v>Published count rounded to one decimal million</x:v>
      </x:c>
    </x:row>
    <x:row r="6">
      <x:c r="A6" s="14" t="str">
        <x:v>STATSSA26</x:v>
      </x:c>
      <x:c r="B6" s="14" t="str">
        <x:v>South Africa labour market</x:v>
      </x:c>
      <x:c r="C6" s="14" t="str">
        <x:v>Unemployment rate age 15-24</x:v>
      </x:c>
      <x:c r="D6" s="18" t="n">
        <x:v>60.9</x:v>
      </x:c>
      <x:c r="E6" s="14" t="str">
        <x:v>percent</x:v>
      </x:c>
      <x:c r="F6" s="14" t="str">
        <x:v>South Africa</x:v>
      </x:c>
      <x:c r="G6" s="14" t="str">
        <x:v>Labour force aged 15-24</x:v>
      </x:c>
      <x:c r="H6" s="14" t="str">
        <x:v>Q1 2026</x:v>
      </x:c>
      <x:c r="I6" s="14" t="str">
        <x:v>Statistics South Africa</x:v>
      </x:c>
      <x:c r="J6" s="14" t="str">
        <x:v>https://www.statssa.gov.za/?p=19526</x:v>
      </x:c>
      <x:c r="K6" s="14" t="str"/>
    </x:row>
    <x:row r="7">
      <x:c r="A7" s="14" t="str">
        <x:v>STATSSA26</x:v>
      </x:c>
      <x:c r="B7" s="14" t="str">
        <x:v>South Africa labour market</x:v>
      </x:c>
      <x:c r="C7" s="14" t="str">
        <x:v>Unemployment rate age 25-34</x:v>
      </x:c>
      <x:c r="D7" s="18" t="n">
        <x:v>40.6</x:v>
      </x:c>
      <x:c r="E7" s="14" t="str">
        <x:v>percent</x:v>
      </x:c>
      <x:c r="F7" s="14" t="str">
        <x:v>South Africa</x:v>
      </x:c>
      <x:c r="G7" s="14" t="str">
        <x:v>Labour force aged 25-34</x:v>
      </x:c>
      <x:c r="H7" s="14" t="str">
        <x:v>Q1 2026</x:v>
      </x:c>
      <x:c r="I7" s="14" t="str">
        <x:v>Statistics South Africa</x:v>
      </x:c>
      <x:c r="J7" s="14" t="str">
        <x:v>https://www.statssa.gov.za/?p=19526</x:v>
      </x:c>
      <x:c r="K7" s="14" t="str"/>
    </x:row>
    <x:row r="8">
      <x:c r="A8" s="14" t="str">
        <x:v>STATSSA26</x:v>
      </x:c>
      <x:c r="B8" s="14" t="str">
        <x:v>South Africa labour market</x:v>
      </x:c>
      <x:c r="C8" s="14" t="str">
        <x:v>NEET rate age 15-24</x:v>
      </x:c>
      <x:c r="D8" s="18" t="n">
        <x:v>37.6</x:v>
      </x:c>
      <x:c r="E8" s="14" t="str">
        <x:v>percent</x:v>
      </x:c>
      <x:c r="F8" s="14" t="str">
        <x:v>South Africa</x:v>
      </x:c>
      <x:c r="G8" s="14" t="str">
        <x:v>People aged 15-24</x:v>
      </x:c>
      <x:c r="H8" s="14" t="str">
        <x:v>Q1 2026</x:v>
      </x:c>
      <x:c r="I8" s="14" t="str">
        <x:v>Statistics South Africa</x:v>
      </x:c>
      <x:c r="J8" s="14" t="str">
        <x:v>https://www.statssa.gov.za/?p=19526</x:v>
      </x:c>
      <x:c r="K8" s="14" t="str">
        <x:v>Not in employment education or training</x:v>
      </x:c>
    </x:row>
    <x:row r="9">
      <x:c r="A9" s="14" t="str">
        <x:v>STATSSA26</x:v>
      </x:c>
      <x:c r="B9" s="14" t="str">
        <x:v>South Africa labour market</x:v>
      </x:c>
      <x:c r="C9" s="14" t="str">
        <x:v>NEET rate age 15-34</x:v>
      </x:c>
      <x:c r="D9" s="18" t="n">
        <x:v>45.6</x:v>
      </x:c>
      <x:c r="E9" s="14" t="str">
        <x:v>percent</x:v>
      </x:c>
      <x:c r="F9" s="14" t="str">
        <x:v>South Africa</x:v>
      </x:c>
      <x:c r="G9" s="14" t="str">
        <x:v>People aged 15-34</x:v>
      </x:c>
      <x:c r="H9" s="14" t="str">
        <x:v>Q1 2026</x:v>
      </x:c>
      <x:c r="I9" s="14" t="str">
        <x:v>Statistics South Africa</x:v>
      </x:c>
      <x:c r="J9" s="14" t="str">
        <x:v>https://www.statssa.gov.za/?p=19526</x:v>
      </x:c>
      <x:c r="K9" s="14" t="str">
        <x:v>Not in employment education or training</x:v>
      </x:c>
    </x:row>
    <x:row r="10">
      <x:c r="A10" s="14" t="str">
        <x:v>STATSSA26</x:v>
      </x:c>
      <x:c r="B10" s="14" t="str">
        <x:v>South Africa labour market</x:v>
      </x:c>
      <x:c r="C10" s="14" t="str">
        <x:v>Female NEET rate age 15-24</x:v>
      </x:c>
      <x:c r="D10" s="18" t="n">
        <x:v>39.2</x:v>
      </x:c>
      <x:c r="E10" s="14" t="str">
        <x:v>percent</x:v>
      </x:c>
      <x:c r="F10" s="14" t="str">
        <x:v>South Africa</x:v>
      </x:c>
      <x:c r="G10" s="14" t="str">
        <x:v>Females aged 15-24</x:v>
      </x:c>
      <x:c r="H10" s="14" t="str">
        <x:v>Q1 2026</x:v>
      </x:c>
      <x:c r="I10" s="14" t="str">
        <x:v>Statistics South Africa</x:v>
      </x:c>
      <x:c r="J10" s="14" t="str">
        <x:v>https://www.statssa.gov.za/?p=19526</x:v>
      </x:c>
      <x:c r="K10" s="14" t="str"/>
    </x:row>
    <x:row r="11">
      <x:c r="A11" s="14" t="str">
        <x:v>STATSSA26</x:v>
      </x:c>
      <x:c r="B11" s="14" t="str">
        <x:v>South Africa labour market</x:v>
      </x:c>
      <x:c r="C11" s="14" t="str">
        <x:v>Male NEET rate age 15-24</x:v>
      </x:c>
      <x:c r="D11" s="18" t="n">
        <x:v>36</x:v>
      </x:c>
      <x:c r="E11" s="14" t="str">
        <x:v>percent</x:v>
      </x:c>
      <x:c r="F11" s="14" t="str">
        <x:v>South Africa</x:v>
      </x:c>
      <x:c r="G11" s="14" t="str">
        <x:v>Males aged 15-24</x:v>
      </x:c>
      <x:c r="H11" s="14" t="str">
        <x:v>Q1 2026</x:v>
      </x:c>
      <x:c r="I11" s="14" t="str">
        <x:v>Statistics South Africa</x:v>
      </x:c>
      <x:c r="J11" s="14" t="str">
        <x:v>https://www.statssa.gov.za/?p=19526</x:v>
      </x:c>
      <x:c r="K11" s="14" t="str"/>
    </x:row>
    <x:row r="12">
      <x:c r="A12" s="14" t="str">
        <x:v>STATSSA26</x:v>
      </x:c>
      <x:c r="B12" s="14" t="str">
        <x:v>Youth employment by industry</x:v>
      </x:c>
      <x:c r="C12" s="14" t="str">
        <x:v>Trade</x:v>
      </x:c>
      <x:c r="D12" s="18" t="n">
        <x:v>23.6</x:v>
      </x:c>
      <x:c r="E12" s="14" t="str">
        <x:v>percent</x:v>
      </x:c>
      <x:c r="F12" s="14" t="str">
        <x:v>South Africa</x:v>
      </x:c>
      <x:c r="G12" s="14" t="str">
        <x:v>Employed people aged 15-34</x:v>
      </x:c>
      <x:c r="H12" s="14" t="str">
        <x:v>Q1 2026</x:v>
      </x:c>
      <x:c r="I12" s="14" t="str">
        <x:v>Statistics South Africa</x:v>
      </x:c>
      <x:c r="J12" s="14" t="str">
        <x:v>https://www.statssa.gov.za/?p=19526</x:v>
      </x:c>
      <x:c r="K12" s="14" t="str">
        <x:v>Share of employed youth</x:v>
      </x:c>
    </x:row>
    <x:row r="13">
      <x:c r="A13" s="14" t="str">
        <x:v>STATSSA26</x:v>
      </x:c>
      <x:c r="B13" s="14" t="str">
        <x:v>Youth employment by industry</x:v>
      </x:c>
      <x:c r="C13" s="14" t="str">
        <x:v>Community and social services</x:v>
      </x:c>
      <x:c r="D13" s="18" t="n">
        <x:v>19.9</x:v>
      </x:c>
      <x:c r="E13" s="14" t="str">
        <x:v>percent</x:v>
      </x:c>
      <x:c r="F13" s="14" t="str">
        <x:v>South Africa</x:v>
      </x:c>
      <x:c r="G13" s="14" t="str">
        <x:v>Employed people aged 15-34</x:v>
      </x:c>
      <x:c r="H13" s="14" t="str">
        <x:v>Q1 2026</x:v>
      </x:c>
      <x:c r="I13" s="14" t="str">
        <x:v>Statistics South Africa</x:v>
      </x:c>
      <x:c r="J13" s="14" t="str">
        <x:v>https://www.statssa.gov.za/?p=19526</x:v>
      </x:c>
      <x:c r="K13" s="14" t="str">
        <x:v>Share of employed youth</x:v>
      </x:c>
    </x:row>
    <x:row r="14">
      <x:c r="A14" s="14" t="str">
        <x:v>STATSSA26</x:v>
      </x:c>
      <x:c r="B14" s="14" t="str">
        <x:v>Youth employment by industry</x:v>
      </x:c>
      <x:c r="C14" s="14" t="str">
        <x:v>Finance</x:v>
      </x:c>
      <x:c r="D14" s="18" t="n">
        <x:v>18.5</x:v>
      </x:c>
      <x:c r="E14" s="14" t="str">
        <x:v>percent</x:v>
      </x:c>
      <x:c r="F14" s="14" t="str">
        <x:v>South Africa</x:v>
      </x:c>
      <x:c r="G14" s="14" t="str">
        <x:v>Employed people aged 15-34</x:v>
      </x:c>
      <x:c r="H14" s="14" t="str">
        <x:v>Q1 2026</x:v>
      </x:c>
      <x:c r="I14" s="14" t="str">
        <x:v>Statistics South Africa</x:v>
      </x:c>
      <x:c r="J14" s="14" t="str">
        <x:v>https://www.statssa.gov.za/?p=19526</x:v>
      </x:c>
      <x:c r="K14" s="14" t="str">
        <x:v>Share of employed youth</x:v>
      </x:c>
    </x:row>
    <x:row r="15">
      <x:c r="A15" s="14" t="str">
        <x:v>DELOITTEZA25</x:v>
      </x:c>
      <x:c r="B15" s="14" t="str">
        <x:v>South African Gen Z development</x:v>
      </x:c>
      <x:c r="C15" s="14" t="str">
        <x:v>Actively enhancing skills weekly</x:v>
      </x:c>
      <x:c r="D15" s="18" t="n">
        <x:v>69</x:v>
      </x:c>
      <x:c r="E15" s="14" t="str">
        <x:v>percent</x:v>
      </x:c>
      <x:c r="F15" s="14" t="str">
        <x:v>South Africa</x:v>
      </x:c>
      <x:c r="G15" s="14" t="str">
        <x:v>Gen Z respondents</x:v>
      </x:c>
      <x:c r="H15" s="14" t="str">
        <x:v>2025</x:v>
      </x:c>
      <x:c r="I15" s="14" t="str">
        <x:v>Deloitte South Africa</x:v>
      </x:c>
      <x:c r="J15" s="14" t="str">
        <x:v>https://www.linkedin.com/posts/deloitte_careergrowth-genz-millennials-activity-7346447611979071489-KPCC</x:v>
      </x:c>
      <x:c r="K15" s="14" t="str"/>
    </x:row>
    <x:row r="16">
      <x:c r="A16" s="14" t="str">
        <x:v>DELOITTEZA25</x:v>
      </x:c>
      <x:c r="B16" s="14" t="str">
        <x:v>South African Gen Z development</x:v>
      </x:c>
      <x:c r="C16" s="14" t="str">
        <x:v>Value formal training programmes</x:v>
      </x:c>
      <x:c r="D16" s="18" t="n">
        <x:v>98</x:v>
      </x:c>
      <x:c r="E16" s="14" t="str">
        <x:v>percent</x:v>
      </x:c>
      <x:c r="F16" s="14" t="str">
        <x:v>South Africa</x:v>
      </x:c>
      <x:c r="G16" s="14" t="str">
        <x:v>Gen Z respondents</x:v>
      </x:c>
      <x:c r="H16" s="14" t="str">
        <x:v>2025</x:v>
      </x:c>
      <x:c r="I16" s="14" t="str">
        <x:v>Deloitte South Africa</x:v>
      </x:c>
      <x:c r="J16" s="14" t="str">
        <x:v>https://www.linkedin.com/posts/deloitte_careergrowth-genz-millennials-activity-7346447611979071489-KPCC</x:v>
      </x:c>
      <x:c r="K16" s="14" t="str"/>
    </x:row>
    <x:row r="17">
      <x:c r="A17" s="14" t="str">
        <x:v>DELOITTEZA25</x:v>
      </x:c>
      <x:c r="B17" s="14" t="str">
        <x:v>South African Gen Z development</x:v>
      </x:c>
      <x:c r="C17" s="14" t="str">
        <x:v>Prefer on-the-job learning</x:v>
      </x:c>
      <x:c r="D17" s="18" t="n">
        <x:v>97</x:v>
      </x:c>
      <x:c r="E17" s="14" t="str">
        <x:v>percent</x:v>
      </x:c>
      <x:c r="F17" s="14" t="str">
        <x:v>South Africa</x:v>
      </x:c>
      <x:c r="G17" s="14" t="str">
        <x:v>Gen Z respondents</x:v>
      </x:c>
      <x:c r="H17" s="14" t="str">
        <x:v>2025</x:v>
      </x:c>
      <x:c r="I17" s="14" t="str">
        <x:v>Deloitte South Africa</x:v>
      </x:c>
      <x:c r="J17" s="14" t="str">
        <x:v>https://www.linkedin.com/posts/deloitte_careergrowth-genz-millennials-activity-7346447611979071489-KPCC</x:v>
      </x:c>
      <x:c r="K17" s="14" t="str"/>
    </x:row>
    <x:row r="18">
      <x:c r="A18" s="14" t="str">
        <x:v>DELOITTEZA25</x:v>
      </x:c>
      <x:c r="B18" s="14" t="str">
        <x:v>South African Gen Z development</x:v>
      </x:c>
      <x:c r="C18" s="14" t="str">
        <x:v>See mentorship as essential</x:v>
      </x:c>
      <x:c r="D18" s="18" t="n">
        <x:v>97</x:v>
      </x:c>
      <x:c r="E18" s="14" t="str">
        <x:v>percent</x:v>
      </x:c>
      <x:c r="F18" s="14" t="str">
        <x:v>South Africa</x:v>
      </x:c>
      <x:c r="G18" s="14" t="str">
        <x:v>Gen Z respondents</x:v>
      </x:c>
      <x:c r="H18" s="14" t="str">
        <x:v>2025</x:v>
      </x:c>
      <x:c r="I18" s="14" t="str">
        <x:v>Deloitte South Africa</x:v>
      </x:c>
      <x:c r="J18" s="14" t="str">
        <x:v>https://www.linkedin.com/posts/deloitte_careergrowth-genz-millennials-activity-7346447611979071489-KPCC</x:v>
      </x:c>
      <x:c r="K18" s="14" t="str"/>
    </x:row>
    <x:row r="19">
      <x:c r="A19" s="14" t="str">
        <x:v>DELOITTEZA25</x:v>
      </x:c>
      <x:c r="B19" s="14" t="str">
        <x:v>South African Gen Z development</x:v>
      </x:c>
      <x:c r="C19" s="14" t="str">
        <x:v>Value feedback and performance reviews</x:v>
      </x:c>
      <x:c r="D19" s="18" t="n">
        <x:v>94</x:v>
      </x:c>
      <x:c r="E19" s="14" t="str">
        <x:v>percent</x:v>
      </x:c>
      <x:c r="F19" s="14" t="str">
        <x:v>South Africa</x:v>
      </x:c>
      <x:c r="G19" s="14" t="str">
        <x:v>Gen Z respondents</x:v>
      </x:c>
      <x:c r="H19" s="14" t="str">
        <x:v>2025</x:v>
      </x:c>
      <x:c r="I19" s="14" t="str">
        <x:v>Deloitte South Africa</x:v>
      </x:c>
      <x:c r="J19" s="14" t="str">
        <x:v>https://www.linkedin.com/posts/deloitte_careergrowth-genz-millennials-activity-7346447611979071489-KPCC</x:v>
      </x:c>
      <x:c r="K19" s="14" t="str"/>
    </x:row>
    <x:row r="20">
      <x:c r="A20" s="14" t="str">
        <x:v>DELOITTEZA25</x:v>
      </x:c>
      <x:c r="B20" s="14" t="str">
        <x:v>South African Gen Z development</x:v>
      </x:c>
      <x:c r="C20" s="14" t="str">
        <x:v>Value workshops and conferences</x:v>
      </x:c>
      <x:c r="D20" s="18" t="n">
        <x:v>92</x:v>
      </x:c>
      <x:c r="E20" s="14" t="str">
        <x:v>percent</x:v>
      </x:c>
      <x:c r="F20" s="14" t="str">
        <x:v>South Africa</x:v>
      </x:c>
      <x:c r="G20" s="14" t="str">
        <x:v>Gen Z respondents</x:v>
      </x:c>
      <x:c r="H20" s="14" t="str">
        <x:v>2025</x:v>
      </x:c>
      <x:c r="I20" s="14" t="str">
        <x:v>Deloitte South Africa</x:v>
      </x:c>
      <x:c r="J20" s="14" t="str">
        <x:v>https://www.linkedin.com/posts/deloitte_careergrowth-genz-millennials-activity-7346447611979071489-KPCC</x:v>
      </x:c>
      <x:c r="K20" s="14" t="str"/>
    </x:row>
    <x:row r="21">
      <x:c r="A21" s="14" t="str">
        <x:v>INTEL24</x:v>
      </x:c>
      <x:c r="B21" s="14" t="str">
        <x:v>Employer concerns</x:v>
      </x:c>
      <x:c r="C21" s="14" t="str">
        <x:v>Recent graduate hires unsatisfactory in some or all cases</x:v>
      </x:c>
      <x:c r="D21" s="18" t="n">
        <x:v>75</x:v>
      </x:c>
      <x:c r="E21" s="14" t="str">
        <x:v>percent</x:v>
      </x:c>
      <x:c r="F21" s="14" t="str">
        <x:v>Not stated in published methodology</x:v>
      </x:c>
      <x:c r="G21" s="14" t="str">
        <x:v>966 business leaders involved in entry-level hiring</x:v>
      </x:c>
      <x:c r="H21" s="14" t="str">
        <x:v>August 2024</x:v>
      </x:c>
      <x:c r="I21" s="14" t="str">
        <x:v>Intelligent.com</x:v>
      </x:c>
      <x:c r="J21" s="14" t="str">
        <x:v>https://www.intelligent.com/1-in-6-companies-are-hesitant-to-hire-recent-college-graduates/</x:v>
      </x:c>
      <x:c r="K21" s="14" t="str"/>
    </x:row>
    <x:row r="22">
      <x:c r="A22" s="14" t="str">
        <x:v>INTEL24</x:v>
      </x:c>
      <x:c r="B22" s="14" t="str">
        <x:v>Employer concerns</x:v>
      </x:c>
      <x:c r="C22" s="14" t="str">
        <x:v>Companies that fired a recent college graduate hire</x:v>
      </x:c>
      <x:c r="D22" s="18" t="n">
        <x:v>60</x:v>
      </x:c>
      <x:c r="E22" s="14" t="str">
        <x:v>percent</x:v>
      </x:c>
      <x:c r="F22" s="14" t="str">
        <x:v>Not stated in published methodology</x:v>
      </x:c>
      <x:c r="G22" s="14" t="str">
        <x:v>966 business leaders involved in entry-level hiring</x:v>
      </x:c>
      <x:c r="H22" s="14" t="str">
        <x:v>August 2024</x:v>
      </x:c>
      <x:c r="I22" s="14" t="str">
        <x:v>Intelligent.com</x:v>
      </x:c>
      <x:c r="J22" s="14" t="str">
        <x:v>https://www.intelligent.com/1-in-6-companies-are-hesitant-to-hire-recent-college-graduates/</x:v>
      </x:c>
      <x:c r="K22" s="14" t="str"/>
    </x:row>
    <x:row r="23">
      <x:c r="A23" s="14" t="str">
        <x:v>INTEL24</x:v>
      </x:c>
      <x:c r="B23" s="14" t="str">
        <x:v>Reasons hires did not work out</x:v>
      </x:c>
      <x:c r="C23" s="14" t="str">
        <x:v>Lack of motivation or initiative</x:v>
      </x:c>
      <x:c r="D23" s="18" t="n">
        <x:v>50</x:v>
      </x:c>
      <x:c r="E23" s="14" t="str">
        <x:v>percent</x:v>
      </x:c>
      <x:c r="F23" s="14" t="str">
        <x:v>Not stated in published methodology</x:v>
      </x:c>
      <x:c r="G23" s="14" t="str">
        <x:v>Business leaders reporting recent graduate hire issues</x:v>
      </x:c>
      <x:c r="H23" s="14" t="str">
        <x:v>August 2024</x:v>
      </x:c>
      <x:c r="I23" s="14" t="str">
        <x:v>Intelligent.com</x:v>
      </x:c>
      <x:c r="J23" s="14" t="str">
        <x:v>https://www.intelligent.com/1-in-6-companies-are-hesitant-to-hire-recent-college-graduates/</x:v>
      </x:c>
      <x:c r="K23" s="14" t="str"/>
    </x:row>
    <x:row r="24">
      <x:c r="A24" s="14" t="str">
        <x:v>INTEL24</x:v>
      </x:c>
      <x:c r="B24" s="14" t="str">
        <x:v>Reasons hires did not work out</x:v>
      </x:c>
      <x:c r="C24" s="14" t="str">
        <x:v>Lack of professionalism</x:v>
      </x:c>
      <x:c r="D24" s="18" t="n">
        <x:v>46</x:v>
      </x:c>
      <x:c r="E24" s="14" t="str">
        <x:v>percent</x:v>
      </x:c>
      <x:c r="F24" s="14" t="str">
        <x:v>Not stated in published methodology</x:v>
      </x:c>
      <x:c r="G24" s="14" t="str">
        <x:v>Business leaders reporting recent graduate hire issues</x:v>
      </x:c>
      <x:c r="H24" s="14" t="str">
        <x:v>August 2024</x:v>
      </x:c>
      <x:c r="I24" s="14" t="str">
        <x:v>Intelligent.com</x:v>
      </x:c>
      <x:c r="J24" s="14" t="str">
        <x:v>https://www.intelligent.com/1-in-6-companies-are-hesitant-to-hire-recent-college-graduates/</x:v>
      </x:c>
      <x:c r="K24" s="14" t="str"/>
    </x:row>
    <x:row r="25">
      <x:c r="A25" s="14" t="str">
        <x:v>INTEL24</x:v>
      </x:c>
      <x:c r="B25" s="14" t="str">
        <x:v>Reasons hires did not work out</x:v>
      </x:c>
      <x:c r="C25" s="14" t="str">
        <x:v>Poor communication skills</x:v>
      </x:c>
      <x:c r="D25" s="18" t="n">
        <x:v>39</x:v>
      </x:c>
      <x:c r="E25" s="14" t="str">
        <x:v>percent</x:v>
      </x:c>
      <x:c r="F25" s="14" t="str">
        <x:v>Not stated in published methodology</x:v>
      </x:c>
      <x:c r="G25" s="14" t="str">
        <x:v>Business leaders reporting recent graduate hire issues</x:v>
      </x:c>
      <x:c r="H25" s="14" t="str">
        <x:v>August 2024</x:v>
      </x:c>
      <x:c r="I25" s="14" t="str">
        <x:v>Intelligent.com</x:v>
      </x:c>
      <x:c r="J25" s="14" t="str">
        <x:v>https://www.intelligent.com/1-in-6-companies-are-hesitant-to-hire-recent-college-graduates/</x:v>
      </x:c>
      <x:c r="K25" s="14" t="str"/>
    </x:row>
    <x:row r="26">
      <x:c r="A26" s="14" t="str">
        <x:v>INTEL24</x:v>
      </x:c>
      <x:c r="B26" s="14" t="str">
        <x:v>Reasons hires did not work out</x:v>
      </x:c>
      <x:c r="C26" s="14" t="str">
        <x:v>Struggles with feedback</x:v>
      </x:c>
      <x:c r="D26" s="18" t="n">
        <x:v>38</x:v>
      </x:c>
      <x:c r="E26" s="14" t="str">
        <x:v>percent</x:v>
      </x:c>
      <x:c r="F26" s="14" t="str">
        <x:v>Not stated in published methodology</x:v>
      </x:c>
      <x:c r="G26" s="14" t="str">
        <x:v>Business leaders reporting recent graduate hire issues</x:v>
      </x:c>
      <x:c r="H26" s="14" t="str">
        <x:v>August 2024</x:v>
      </x:c>
      <x:c r="I26" s="14" t="str">
        <x:v>Intelligent.com</x:v>
      </x:c>
      <x:c r="J26" s="14" t="str">
        <x:v>https://www.intelligent.com/1-in-6-companies-are-hesitant-to-hire-recent-college-graduates/</x:v>
      </x:c>
      <x:c r="K26" s="14" t="str"/>
    </x:row>
    <x:row r="27">
      <x:c r="A27" s="14" t="str">
        <x:v>INTEL24</x:v>
      </x:c>
      <x:c r="B27" s="14" t="str">
        <x:v>Reasons hires did not work out</x:v>
      </x:c>
      <x:c r="C27" s="14" t="str">
        <x:v>Inadequate problem-solving abilities</x:v>
      </x:c>
      <x:c r="D27" s="18" t="n">
        <x:v>34</x:v>
      </x:c>
      <x:c r="E27" s="14" t="str">
        <x:v>percent</x:v>
      </x:c>
      <x:c r="F27" s="14" t="str">
        <x:v>Not stated in published methodology</x:v>
      </x:c>
      <x:c r="G27" s="14" t="str">
        <x:v>Business leaders reporting recent graduate hire issues</x:v>
      </x:c>
      <x:c r="H27" s="14" t="str">
        <x:v>August 2024</x:v>
      </x:c>
      <x:c r="I27" s="14" t="str">
        <x:v>Intelligent.com</x:v>
      </x:c>
      <x:c r="J27" s="14" t="str">
        <x:v>https://www.intelligent.com/1-in-6-companies-are-hesitant-to-hire-recent-college-graduates/</x:v>
      </x:c>
      <x:c r="K27" s="14" t="str"/>
    </x:row>
    <x:row r="28">
      <x:c r="A28" s="14" t="str">
        <x:v>INTEL24</x:v>
      </x:c>
      <x:c r="B28" s="14" t="str">
        <x:v>Employer support</x:v>
      </x:c>
      <x:c r="C28" s="14" t="str">
        <x:v>Companies placing underperforming recent graduate hires on PIPs</x:v>
      </x:c>
      <x:c r="D28" s="18" t="n">
        <x:v>79</x:v>
      </x:c>
      <x:c r="E28" s="14" t="str">
        <x:v>percent</x:v>
      </x:c>
      <x:c r="F28" s="14" t="str">
        <x:v>Not stated in published methodology</x:v>
      </x:c>
      <x:c r="G28" s="14" t="str">
        <x:v>966 business leaders involved in entry-level hiring</x:v>
      </x:c>
      <x:c r="H28" s="14" t="str">
        <x:v>August 2024</x:v>
      </x:c>
      <x:c r="I28" s="14" t="str">
        <x:v>Intelligent.com</x:v>
      </x:c>
      <x:c r="J28" s="14" t="str">
        <x:v>https://www.intelligent.com/1-in-6-companies-are-hesitant-to-hire-recent-college-graduates/</x:v>
      </x:c>
      <x:c r="K28" s="14" t="str"/>
    </x:row>
    <x:row r="29">
      <x:c r="A29" s="14" t="str">
        <x:v>DELOITTE26</x:v>
      </x:c>
      <x:c r="B29" s="14" t="str">
        <x:v>Global Gen Z career preferences</x:v>
      </x:c>
      <x:c r="C29" s="14" t="str">
        <x:v>Prefer rapid promotions</x:v>
      </x:c>
      <x:c r="D29" s="18" t="n">
        <x:v>25</x:v>
      </x:c>
      <x:c r="E29" s="14" t="str">
        <x:v>percent</x:v>
      </x:c>
      <x:c r="F29" s="14" t="str">
        <x:v>44 countries</x:v>
      </x:c>
      <x:c r="G29" s="14" t="str">
        <x:v>Gen Z respondents</x:v>
      </x:c>
      <x:c r="H29" s="14" t="str">
        <x:v>2026</x:v>
      </x:c>
      <x:c r="I29" s="14" t="str">
        <x:v>Deloitte Global</x:v>
      </x:c>
      <x:c r="J29" s="14" t="str">
        <x:v>https://www.deloitte.com/global/en/issues/work/genz-millennial-survey.html</x:v>
      </x:c>
      <x:c r="K29" s="14" t="str"/>
    </x:row>
    <x:row r="30">
      <x:c r="A30" s="14" t="str">
        <x:v>DELOITTE26</x:v>
      </x:c>
      <x:c r="B30" s="14" t="str">
        <x:v>Global Gen Z career preferences</x:v>
      </x:c>
      <x:c r="C30" s="14" t="str">
        <x:v>Prefer steady progress</x:v>
      </x:c>
      <x:c r="D30" s="18" t="n">
        <x:v>44</x:v>
      </x:c>
      <x:c r="E30" s="14" t="str">
        <x:v>percent</x:v>
      </x:c>
      <x:c r="F30" s="14" t="str">
        <x:v>44 countries</x:v>
      </x:c>
      <x:c r="G30" s="14" t="str">
        <x:v>Gen Z respondents</x:v>
      </x:c>
      <x:c r="H30" s="14" t="str">
        <x:v>2026</x:v>
      </x:c>
      <x:c r="I30" s="14" t="str">
        <x:v>Deloitte Global</x:v>
      </x:c>
      <x:c r="J30" s="14" t="str">
        <x:v>https://www.deloitte.com/global/en/about/press-room/deloitte-2026-gen-z-and-millennial-survey.html</x:v>
      </x:c>
      <x:c r="K30" s="14" t="str"/>
    </x:row>
    <x:row r="31">
      <x:c r="A31" s="14" t="str">
        <x:v>DELOITTE26</x:v>
      </x:c>
      <x:c r="B31" s="14" t="str">
        <x:v>Global Gen Z career preferences</x:v>
      </x:c>
      <x:c r="C31" s="14" t="str">
        <x:v>Willing to move laterally or take a step back</x:v>
      </x:c>
      <x:c r="D31" s="18" t="n">
        <x:v>21</x:v>
      </x:c>
      <x:c r="E31" s="14" t="str">
        <x:v>percent</x:v>
      </x:c>
      <x:c r="F31" s="14" t="str">
        <x:v>44 countries</x:v>
      </x:c>
      <x:c r="G31" s="14" t="str">
        <x:v>Gen Z respondents</x:v>
      </x:c>
      <x:c r="H31" s="14" t="str">
        <x:v>2026</x:v>
      </x:c>
      <x:c r="I31" s="14" t="str">
        <x:v>Deloitte Global</x:v>
      </x:c>
      <x:c r="J31" s="14" t="str">
        <x:v>https://www.deloitte.com/global/en/about/press-room/deloitte-2026-gen-z-and-millennial-survey.html</x:v>
      </x:c>
      <x:c r="K31" s="14" t="str"/>
    </x:row>
    <x:row r="32">
      <x:c r="A32" s="14" t="str">
        <x:v>DELOITTE26</x:v>
      </x:c>
      <x:c r="B32" s="14" t="str">
        <x:v>Global Gen Z financial pressure</x:v>
      </x:c>
      <x:c r="C32" s="14" t="str">
        <x:v>Delayed major life decisions due to finances</x:v>
      </x:c>
      <x:c r="D32" s="18" t="n">
        <x:v>55</x:v>
      </x:c>
      <x:c r="E32" s="14" t="str">
        <x:v>percent</x:v>
      </x:c>
      <x:c r="F32" s="14" t="str">
        <x:v>44 countries</x:v>
      </x:c>
      <x:c r="G32" s="14" t="str">
        <x:v>Gen Z respondents</x:v>
      </x:c>
      <x:c r="H32" s="14" t="str">
        <x:v>2026</x:v>
      </x:c>
      <x:c r="I32" s="14" t="str">
        <x:v>Deloitte Global</x:v>
      </x:c>
      <x:c r="J32" s="14" t="str">
        <x:v>https://www.deloitte.com/global/en/about/press-room/deloitte-2026-gen-z-and-millennial-survey.html</x:v>
      </x:c>
      <x:c r="K32" s="14" t="str"/>
    </x:row>
    <x:row r="33">
      <x:c r="A33" s="14" t="str">
        <x:v>DELOITTE26</x:v>
      </x:c>
      <x:c r="B33" s="14" t="str">
        <x:v>Global Gen Z financial pressure</x:v>
      </x:c>
      <x:c r="C33" s="14" t="str">
        <x:v>Housing affordability or availability affects career decisions</x:v>
      </x:c>
      <x:c r="D33" s="18" t="n">
        <x:v>69</x:v>
      </x:c>
      <x:c r="E33" s="14" t="str">
        <x:v>percent</x:v>
      </x:c>
      <x:c r="F33" s="14" t="str">
        <x:v>44 countries</x:v>
      </x:c>
      <x:c r="G33" s="14" t="str">
        <x:v>Gen Z respondents</x:v>
      </x:c>
      <x:c r="H33" s="14" t="str">
        <x:v>2026</x:v>
      </x:c>
      <x:c r="I33" s="14" t="str">
        <x:v>Deloitte Global</x:v>
      </x:c>
      <x:c r="J33" s="14" t="str">
        <x:v>https://www.deloitte.com/global/en/about/press-room/deloitte-2026-gen-z-and-millennial-survey.html</x:v>
      </x:c>
      <x:c r="K33" s="14" t="str"/>
    </x:row>
    <x:row r="34">
      <x:c r="A34" s="14" t="str">
        <x:v>DELOITTE26</x:v>
      </x:c>
      <x:c r="B34" s="14" t="str">
        <x:v>Global Gen Z and millennial technology</x:v>
      </x:c>
      <x:c r="C34" s="14" t="str">
        <x:v>Use AI in day-to-day work</x:v>
      </x:c>
      <x:c r="D34" s="18" t="n">
        <x:v>74</x:v>
      </x:c>
      <x:c r="E34" s="14" t="str">
        <x:v>percent</x:v>
      </x:c>
      <x:c r="F34" s="14" t="str">
        <x:v>44 countries</x:v>
      </x:c>
      <x:c r="G34" s="14" t="str">
        <x:v>Gen Z and millennial respondents</x:v>
      </x:c>
      <x:c r="H34" s="14" t="str">
        <x:v>2026</x:v>
      </x:c>
      <x:c r="I34" s="14" t="str">
        <x:v>Deloitte Global</x:v>
      </x:c>
      <x:c r="J34" s="14" t="str">
        <x:v>https://www.deloitte.com/global/en/about/press-room/deloitte-2026-gen-z-and-millennial-survey.html</x:v>
      </x:c>
      <x:c r="K34" s="14" t="str">
        <x:v>Published as a combined Gen Z and millennial figure</x:v>
      </x:c>
    </x:row>
    <x:row r="35">
      <x:c r="A35" s="14" t="str">
        <x:v>DELOITTE25</x:v>
      </x:c>
      <x:c r="B35" s="14" t="str">
        <x:v>Global Gen Z manager support</x:v>
      </x:c>
      <x:c r="C35" s="14" t="str">
        <x:v>Want managers to teach and mentor them</x:v>
      </x:c>
      <x:c r="D35" s="18" t="n">
        <x:v>50</x:v>
      </x:c>
      <x:c r="E35" s="14" t="str">
        <x:v>percent</x:v>
      </x:c>
      <x:c r="F35" s="14" t="str">
        <x:v>44 countries</x:v>
      </x:c>
      <x:c r="G35" s="14" t="str">
        <x:v>Gen Z respondents</x:v>
      </x:c>
      <x:c r="H35" s="14" t="str">
        <x:v>2025</x:v>
      </x:c>
      <x:c r="I35" s="14" t="str">
        <x:v>Deloitte Global</x:v>
      </x:c>
      <x:c r="J35" s="14" t="str">
        <x:v>https://www.deloitte.com/global/en/about/press-room/deloitte-2025-gen-z-and-millennial-survey.html</x:v>
      </x:c>
      <x:c r="K35" s="14" t="str"/>
    </x:row>
    <x:row r="36">
      <x:c r="A36" s="14" t="str">
        <x:v>DELOITTE25</x:v>
      </x:c>
      <x:c r="B36" s="14" t="str">
        <x:v>Global Gen Z manager support</x:v>
      </x:c>
      <x:c r="C36" s="14" t="str">
        <x:v>Say managers actually teach and mentor them</x:v>
      </x:c>
      <x:c r="D36" s="18" t="n">
        <x:v>36</x:v>
      </x:c>
      <x:c r="E36" s="14" t="str">
        <x:v>percent</x:v>
      </x:c>
      <x:c r="F36" s="14" t="str">
        <x:v>44 countries</x:v>
      </x:c>
      <x:c r="G36" s="14" t="str">
        <x:v>Gen Z respondents</x:v>
      </x:c>
      <x:c r="H36" s="14" t="str">
        <x:v>2025</x:v>
      </x:c>
      <x:c r="I36" s="14" t="str">
        <x:v>Deloitte Global</x:v>
      </x:c>
      <x:c r="J36" s="14" t="str">
        <x:v>https://www.deloitte.com/global/en/about/press-room/deloitte-2025-gen-z-and-millennial-survey.html</x:v>
      </x:c>
      <x:c r="K36" s="14" t="str"/>
    </x:row>
    <x:row r="37">
      <x:c r="A37" s="14" t="str">
        <x:v>DELOITTE25</x:v>
      </x:c>
      <x:c r="B37" s="14" t="str">
        <x:v>Global Gen Z work priorities</x:v>
      </x:c>
      <x:c r="C37" s="14" t="str">
        <x:v>Do not feel financially secure</x:v>
      </x:c>
      <x:c r="D37" s="18" t="n">
        <x:v>48</x:v>
      </x:c>
      <x:c r="E37" s="14" t="str">
        <x:v>percent</x:v>
      </x:c>
      <x:c r="F37" s="14" t="str">
        <x:v>44 countries</x:v>
      </x:c>
      <x:c r="G37" s="14" t="str">
        <x:v>Gen Z respondents</x:v>
      </x:c>
      <x:c r="H37" s="14" t="str">
        <x:v>2025</x:v>
      </x:c>
      <x:c r="I37" s="14" t="str">
        <x:v>Deloitte Global</x:v>
      </x:c>
      <x:c r="J37" s="14" t="str">
        <x:v>https://www.deloitte.com/global/en/about/press-room/deloitte-2025-gen-z-and-millennial-survey.html</x:v>
      </x:c>
      <x:c r="K37" s="14" t="str"/>
    </x:row>
    <x:row r="38">
      <x:c r="A38" s="14" t="str">
        <x:v>DELOITTE25</x:v>
      </x:c>
      <x:c r="B38" s="14" t="str">
        <x:v>Global Gen Z work priorities</x:v>
      </x:c>
      <x:c r="C38" s="14" t="str">
        <x:v>Consider sense of purpose important to job satisfaction and well-being</x:v>
      </x:c>
      <x:c r="D38" s="18" t="n">
        <x:v>89</x:v>
      </x:c>
      <x:c r="E38" s="14" t="str">
        <x:v>percent</x:v>
      </x:c>
      <x:c r="F38" s="14" t="str">
        <x:v>44 countries</x:v>
      </x:c>
      <x:c r="G38" s="14" t="str">
        <x:v>Gen Z respondents</x:v>
      </x:c>
      <x:c r="H38" s="14" t="str">
        <x:v>2025</x:v>
      </x:c>
      <x:c r="I38" s="14" t="str">
        <x:v>Deloitte Global</x:v>
      </x:c>
      <x:c r="J38" s="14" t="str">
        <x:v>https://www.deloitte.com/global/en/about/press-room/deloitte-2025-gen-z-and-millennial-survey.html</x:v>
      </x:c>
      <x:c r="K38" s="14" t="str"/>
    </x:row>
  </x:sheetData>
  <x:pageMargins left="0.7" right="0.7" top="0.75" bottom="0.75" header="0.3" footer="0.3"/>
  <x:tableParts count="1">
    <x:tablePart xmlns:r="http://schemas.openxmlformats.org/officeDocument/2006/relationships" r:id="Rf47f37327e3b447d"/>
  </x:tableParts>
</x:worksheet>
</file>

<file path=xl/worksheets/sheet3.xml><?xml version="1.0" encoding="utf-8"?>
<x:worksheet xmlns:x="http://schemas.openxmlformats.org/spreadsheetml/2006/main">
  <x:sheetFormatPr defaultRowHeight="15"/>
  <x:cols>
    <x:col min="1" max="1" width="22" hidden="0" customWidth="1"/>
    <x:col min="2" max="2" width="17" hidden="0" customWidth="1"/>
    <x:col min="3" max="3" width="14" hidden="0" customWidth="1"/>
    <x:col min="4" max="4" width="28" hidden="0" customWidth="1"/>
    <x:col min="5" max="5" width="46" hidden="0" customWidth="1"/>
  </x:cols>
  <x:sheetData>
    <x:row r="1">
      <x:c r="A1" s="21" t="str">
        <x:v>Province</x:v>
      </x:c>
      <x:c r="B1" s="21" t="str">
        <x:v>Change_000s</x:v>
      </x:c>
      <x:c r="C1" s="21" t="str">
        <x:v>Direction</x:v>
      </x:c>
      <x:c r="D1" s="21" t="str">
        <x:v>Period</x:v>
      </x:c>
      <x:c r="E1" s="21" t="str">
        <x:v>Population</x:v>
      </x:c>
      <x:c r="F1" t="str">
        <x:v>Source</x:v>
      </x:c>
      <x:c r="G1" t="str">
        <x:v>Source_URL</x:v>
      </x:c>
    </x:row>
    <x:row r="2">
      <x:c r="A2" s="13" t="str">
        <x:v>Western Cape</x:v>
      </x:c>
      <x:c r="B2" s="24" t="n">
        <x:v>49</x:v>
      </x:c>
      <x:c r="C2" s="13" t="str">
        <x:v>Increase</x:v>
      </x:c>
      <x:c r="D2" s="13" t="str">
        <x:v>Q1 2025 vs Q4 2024</x:v>
      </x:c>
      <x:c r="E2" s="13" t="str">
        <x:v>All employed persons</x:v>
      </x:c>
      <x:c r="F2" t="str">
        <x:v>Bizcommunity citing Statistics South Africa QLFS</x:v>
      </x:c>
      <x:c r="G2" t="str">
        <x:v>https://www.bizcommunity.com/article/unemployment-climbs-to-329-in-2025-q1-473939a</x:v>
      </x:c>
    </x:row>
    <x:row r="3">
      <x:c r="A3" s="13" t="str">
        <x:v>Gauteng</x:v>
      </x:c>
      <x:c r="B3" s="24" t="n">
        <x:v>9</x:v>
      </x:c>
      <x:c r="C3" s="13" t="str">
        <x:v>Increase</x:v>
      </x:c>
      <x:c r="D3" s="13" t="str">
        <x:v>Q1 2025 vs Q4 2024</x:v>
      </x:c>
      <x:c r="E3" s="13" t="str">
        <x:v>All employed persons</x:v>
      </x:c>
      <x:c r="F3" t="str">
        <x:v>Bizcommunity citing Statistics South Africa QLFS</x:v>
      </x:c>
      <x:c r="G3" t="str">
        <x:v>https://www.bizcommunity.com/article/unemployment-climbs-to-329-in-2025-q1-473939a</x:v>
      </x:c>
    </x:row>
    <x:row r="4">
      <x:c r="A4" s="13" t="str">
        <x:v>Free State</x:v>
      </x:c>
      <x:c r="B4" s="24" t="n">
        <x:v>4</x:v>
      </x:c>
      <x:c r="C4" s="13" t="str">
        <x:v>Increase</x:v>
      </x:c>
      <x:c r="D4" s="13" t="str">
        <x:v>Q1 2025 vs Q4 2024</x:v>
      </x:c>
      <x:c r="E4" s="13" t="str">
        <x:v>All employed persons</x:v>
      </x:c>
      <x:c r="F4" t="str">
        <x:v>Bizcommunity citing Statistics South Africa QLFS</x:v>
      </x:c>
      <x:c r="G4" t="str">
        <x:v>https://www.bizcommunity.com/article/unemployment-climbs-to-329-in-2025-q1-473939a</x:v>
      </x:c>
    </x:row>
    <x:row r="5">
      <x:c r="A5" s="13" t="str">
        <x:v>KwaZulu-Natal</x:v>
      </x:c>
      <x:c r="B5" s="24" t="n">
        <x:v>-104</x:v>
      </x:c>
      <x:c r="C5" s="13" t="str">
        <x:v>Decrease</x:v>
      </x:c>
      <x:c r="D5" s="13" t="str">
        <x:v>Q1 2025 vs Q4 2024</x:v>
      </x:c>
      <x:c r="E5" s="13" t="str">
        <x:v>All employed persons</x:v>
      </x:c>
      <x:c r="F5" t="str">
        <x:v>Bizcommunity citing Statistics South Africa QLFS</x:v>
      </x:c>
      <x:c r="G5" t="str">
        <x:v>https://www.bizcommunity.com/article/unemployment-climbs-to-329-in-2025-q1-473939a</x:v>
      </x:c>
    </x:row>
    <x:row r="6">
      <x:c r="A6" s="13" t="str">
        <x:v>Eastern Cape</x:v>
      </x:c>
      <x:c r="B6" s="24" t="n">
        <x:v>-83</x:v>
      </x:c>
      <x:c r="C6" s="13" t="str">
        <x:v>Decrease</x:v>
      </x:c>
      <x:c r="D6" s="13" t="str">
        <x:v>Q1 2025 vs Q4 2024</x:v>
      </x:c>
      <x:c r="E6" s="13" t="str">
        <x:v>All employed persons</x:v>
      </x:c>
      <x:c r="F6" t="str">
        <x:v>Bizcommunity citing Statistics South Africa QLFS</x:v>
      </x:c>
      <x:c r="G6" t="str">
        <x:v>https://www.bizcommunity.com/article/unemployment-climbs-to-329-in-2025-q1-473939a</x:v>
      </x:c>
    </x:row>
    <x:row r="7">
      <x:c r="A7" s="13" t="str">
        <x:v>North West</x:v>
      </x:c>
      <x:c r="B7" s="24" t="n">
        <x:v>-57</x:v>
      </x:c>
      <x:c r="C7" s="13" t="str">
        <x:v>Decrease</x:v>
      </x:c>
      <x:c r="D7" s="13" t="str">
        <x:v>Q1 2025 vs Q4 2024</x:v>
      </x:c>
      <x:c r="E7" s="13" t="str">
        <x:v>All employed persons</x:v>
      </x:c>
      <x:c r="F7" t="str">
        <x:v>Bizcommunity citing Statistics South Africa QLFS</x:v>
      </x:c>
      <x:c r="G7" t="str">
        <x:v>https://www.bizcommunity.com/article/unemployment-climbs-to-329-in-2025-q1-473939a</x:v>
      </x:c>
    </x:row>
    <x:row r="8">
      <x:c r="A8" s="13" t="str">
        <x:v>Limpopo</x:v>
      </x:c>
      <x:c r="B8" s="24" t="n">
        <x:v>-55</x:v>
      </x:c>
      <x:c r="C8" s="13" t="str">
        <x:v>Decrease</x:v>
      </x:c>
      <x:c r="D8" s="13" t="str">
        <x:v>Q1 2025 vs Q4 2024</x:v>
      </x:c>
      <x:c r="E8" s="13" t="str">
        <x:v>All employed persons</x:v>
      </x:c>
      <x:c r="F8" t="str">
        <x:v>Bizcommunity citing Statistics South Africa QLFS</x:v>
      </x:c>
      <x:c r="G8" t="str">
        <x:v>https://www.bizcommunity.com/article/unemployment-climbs-to-329-in-2025-q1-473939a</x:v>
      </x:c>
    </x:row>
    <x:row r="9">
      <x:c r="A9" s="13" t="str">
        <x:v>Mpumalanga</x:v>
      </x:c>
      <x:c r="B9" s="24" t="n">
        <x:v>-43</x:v>
      </x:c>
      <x:c r="C9" s="13" t="str">
        <x:v>Decrease</x:v>
      </x:c>
      <x:c r="D9" s="13" t="str">
        <x:v>Q1 2025 vs Q4 2024</x:v>
      </x:c>
      <x:c r="E9" s="13" t="str">
        <x:v>All employed persons</x:v>
      </x:c>
      <x:c r="F9" t="str">
        <x:v>Bizcommunity citing Statistics South Africa QLFS</x:v>
      </x:c>
      <x:c r="G9" t="str">
        <x:v>https://www.bizcommunity.com/article/unemployment-climbs-to-329-in-2025-q1-473939a</x:v>
      </x:c>
    </x:row>
    <x:row r="10">
      <x:c r="A10" s="13" t="str">
        <x:v>Northern Cape</x:v>
      </x:c>
      <x:c r="B10" s="24" t="n">
        <x:v>-12</x:v>
      </x:c>
      <x:c r="C10" s="13" t="str">
        <x:v>Decrease</x:v>
      </x:c>
      <x:c r="D10" s="13" t="str">
        <x:v>Q1 2025 vs Q4 2024</x:v>
      </x:c>
      <x:c r="E10" s="13" t="str">
        <x:v>All employed persons</x:v>
      </x:c>
      <x:c r="F10" t="str">
        <x:v>Bizcommunity citing Statistics South Africa QLFS</x:v>
      </x:c>
      <x:c r="G10" t="str">
        <x:v>https://www.bizcommunity.com/article/unemployment-climbs-to-329-in-2025-q1-473939a</x:v>
      </x:c>
    </x:row>
  </x:sheetData>
  <x:pageMargins left="0.7" right="0.7" top="0.75" bottom="0.75" header="0.3" footer="0.3"/>
  <x:tableParts count="1">
    <x:tablePart xmlns:r="http://schemas.openxmlformats.org/officeDocument/2006/relationships" r:id="R56a98c0dbb3d44d5"/>
  </x:tableParts>
</x:worksheet>
</file>

<file path=xl/worksheets/sheet4.xml><?xml version="1.0" encoding="utf-8"?>
<x:worksheet xmlns:x="http://schemas.openxmlformats.org/spreadsheetml/2006/main">
  <x:sheetFormatPr defaultRowHeight="15"/>
  <x:cols>
    <x:col min="1" max="1" width="14" hidden="0" customWidth="1"/>
    <x:col min="2" max="2" width="28" hidden="0" customWidth="1"/>
    <x:col min="3" max="3" width="30" hidden="0" customWidth="1"/>
    <x:col min="4" max="4" width="50" hidden="0" customWidth="1"/>
    <x:col min="5" max="5" width="50" hidden="0" customWidth="1"/>
  </x:cols>
  <x:sheetData>
    <x:row r="1">
      <x:c r="A1" s="21" t="str">
        <x:v>Source_ID</x:v>
      </x:c>
      <x:c r="B1" s="21" t="str">
        <x:v>Source</x:v>
      </x:c>
      <x:c r="C1" s="21" t="str">
        <x:v>Published_or_period</x:v>
      </x:c>
      <x:c r="D1" s="21" t="str">
        <x:v>Use_in_analysis</x:v>
      </x:c>
      <x:c r="E1" s="21" t="str">
        <x:v>URL</x:v>
      </x:c>
    </x:row>
    <x:row r="2">
      <x:c r="A2" s="13" t="str">
        <x:v>IOL26</x:v>
      </x:c>
      <x:c r="B2" s="13" t="str">
        <x:v>IOL Cape Argus</x:v>
      </x:c>
      <x:c r="C2" s="13" t="str">
        <x:v>24 June 2026</x:v>
      </x:c>
      <x:c r="D2" s="13" t="str">
        <x:v>Starting brief and South African interpretation of the Gen Z/employer disconnect; qualitative framing only</x:v>
      </x:c>
      <x:c r="E2" s="13" t="str">
        <x:v>https://iol.co.za/capeargus/opinion/2026-06-24-understanding-the-disconnect-why-employers-are-firing-gen-z-employees/</x:v>
      </x:c>
    </x:row>
    <x:row r="3">
      <x:c r="A3" s="13" t="str">
        <x:v>STATSSA26</x:v>
      </x:c>
      <x:c r="B3" s="13" t="str">
        <x:v>Statistics South Africa</x:v>
      </x:c>
      <x:c r="C3" s="13" t="str">
        <x:v>Q1 2026</x:v>
      </x:c>
      <x:c r="D3" s="13" t="str">
        <x:v>South African youth labour-market context, NEET, unemployment and youth employment by industry</x:v>
      </x:c>
      <x:c r="E3" s="13" t="str">
        <x:v>https://www.statssa.gov.za/?p=19526</x:v>
      </x:c>
    </x:row>
    <x:row r="4">
      <x:c r="A4" s="13" t="str">
        <x:v>DELOITTEZA25</x:v>
      </x:c>
      <x:c r="B4" s="13" t="str">
        <x:v>Deloitte South Africa</x:v>
      </x:c>
      <x:c r="C4" s="13" t="str">
        <x:v>2025</x:v>
      </x:c>
      <x:c r="D4" s="13" t="str">
        <x:v>South African Gen Z learning, mentorship and feedback preferences</x:v>
      </x:c>
      <x:c r="E4" s="13" t="str">
        <x:v>https://www.linkedin.com/posts/deloitte_careergrowth-genz-millennials-activity-7346447611979071489-KPCC</x:v>
      </x:c>
    </x:row>
    <x:row r="5">
      <x:c r="A5" s="13" t="str">
        <x:v>DELOITTE26</x:v>
      </x:c>
      <x:c r="B5" s="13" t="str">
        <x:v>Deloitte Global</x:v>
      </x:c>
      <x:c r="C5" s="13" t="str">
        <x:v>2026</x:v>
      </x:c>
      <x:c r="D5" s="13" t="str">
        <x:v>Global Gen Z career progression, financial pressure and AI use</x:v>
      </x:c>
      <x:c r="E5" s="13" t="str">
        <x:v>https://www.deloitte.com/global/en/about/press-room/deloitte-2026-gen-z-and-millennial-survey.html</x:v>
      </x:c>
    </x:row>
    <x:row r="6">
      <x:c r="A6" s="13" t="str">
        <x:v>DELOITTE25</x:v>
      </x:c>
      <x:c r="B6" s="13" t="str">
        <x:v>Deloitte Global</x:v>
      </x:c>
      <x:c r="C6" s="13" t="str">
        <x:v>2025</x:v>
      </x:c>
      <x:c r="D6" s="13" t="str">
        <x:v>Global Gen Z manager support, financial security and purpose</x:v>
      </x:c>
      <x:c r="E6" s="13" t="str">
        <x:v>https://www.deloitte.com/global/en/about/press-room/deloitte-2025-gen-z-and-millennial-survey.html</x:v>
      </x:c>
    </x:row>
    <x:row r="7">
      <x:c r="A7" s="13" t="str">
        <x:v>INTEL24</x:v>
      </x:c>
      <x:c r="B7" s="13" t="str">
        <x:v>Intelligent.com</x:v>
      </x:c>
      <x:c r="C7" s="13" t="str">
        <x:v>August 2024</x:v>
      </x:c>
      <x:c r="D7" s="13" t="str">
        <x:v>Employer-side survey of 966 business leaders involved in entry-level hiring</x:v>
      </x:c>
      <x:c r="E7" s="13" t="str">
        <x:v>https://www.intelligent.com/1-in-6-companies-are-hesitant-to-hire-recent-college-graduates/</x:v>
      </x:c>
    </x:row>
    <x:row r="8">
      <x:c r="A8" s="13" t="str">
        <x:v>BIZ25</x:v>
      </x:c>
      <x:c r="B8" s="13" t="str">
        <x:v>Bizcommunity citing Stats SA QLFS</x:v>
      </x:c>
      <x:c r="C8" s="13" t="str">
        <x:v>13 May 2025</x:v>
      </x:c>
      <x:c r="D8" s="13" t="str">
        <x:v>Province-level net employment change used only as labour-market context</x:v>
      </x:c>
      <x:c r="E8" s="13" t="str">
        <x:v>https://www.bizcommunity.com/article/unemployment-climbs-to-329-in-2025-q1-473939a</x:v>
      </x:c>
    </x:row>
  </x:sheetData>
  <x:pageMargins left="0.7" right="0.7" top="0.75" bottom="0.75" header="0.3" footer="0.3"/>
  <x:tableParts count="1">
    <x:tablePart xmlns:r="http://schemas.openxmlformats.org/officeDocument/2006/relationships" r:id="Rbe4115095cce4be0"/>
  </x:tableParts>
</x:worksheet>
</file>

<file path=xl/worksheets/sheet5.xml><?xml version="1.0" encoding="utf-8"?>
<x:worksheet xmlns:x="http://schemas.openxmlformats.org/spreadsheetml/2006/main">
  <x:sheetFormatPr defaultRowHeight="15"/>
  <x:cols>
    <x:col min="1" max="1" width="22" hidden="0" customWidth="1"/>
    <x:col min="2" max="2" width="88" hidden="0" customWidth="1"/>
  </x:cols>
  <x:sheetData>
    <x:row r="1">
      <x:c r="A1" s="27" t="str">
        <x:v>Method and evidence handling</x:v>
      </x:c>
      <x:c r="B1" s="27"/>
      <x:c r="C1" s="27"/>
      <x:c r="D1" s="27"/>
      <x:c r="E1" s="27"/>
      <x:c r="F1" s="27"/>
    </x:row>
    <x:row r="2">
      <x:c r="A2" s="27"/>
      <x:c r="B2" s="27"/>
      <x:c r="C2" s="27"/>
      <x:c r="D2" s="27"/>
      <x:c r="E2" s="27"/>
      <x:c r="F2" s="27"/>
    </x:row>
    <x:row r="4" ht="58" customHeight="1">
      <x:c r="A4" s="32" t="str">
        <x:v>Purpose</x:v>
      </x:c>
      <x:c r="B4" s="37" t="str">
        <x:v>Bring published evidence together to examine the workplace disconnect affecting younger workers, with South African labour-market context shown separately from employer and global Gen Z surveys.</x:v>
      </x:c>
    </x:row>
    <x:row r="5" ht="58" customHeight="1">
      <x:c r="A5" s="32" t="str">
        <x:v>Evidence rule</x:v>
      </x:c>
      <x:c r="B5" s="37" t="str">
        <x:v>Every numeric value shown in the workbook comes from a published source listed in the Sources sheet. No employee-level survey responses were invented, imputed or generated.</x:v>
      </x:c>
    </x:row>
    <x:row r="6" ht="58" customHeight="1">
      <x:c r="A6" s="32" t="str">
        <x:v>Comparability</x:v>
      </x:c>
      <x:c r="B6" s="37" t="str">
        <x:v>Figures from different sources are not combined into one sample. Each chart states the geography, population and period so that unlike populations are not presented as directly comparable.</x:v>
      </x:c>
    </x:row>
    <x:row r="7" ht="58" customHeight="1">
      <x:c r="A7" s="32" t="str">
        <x:v>Starting point</x:v>
      </x:c>
      <x:c r="B7" s="37" t="str">
        <x:v>The IOL Cape Argus article dated 24 June 2026 was used to frame the workplace disconnect. Primary and supporting sources were then used for the measurable evidence shown here.</x:v>
      </x:c>
    </x:row>
    <x:row r="8" ht="58" customHeight="1">
      <x:c r="A8" s="32" t="str">
        <x:v>Preparation</x:v>
      </x:c>
      <x:c r="B8" s="37" t="str">
        <x:v>Published values were entered into a source register, standardised into a common metric table, labelled by geography/population/period, and checked against the cited source pages.</x:v>
      </x:c>
    </x:row>
    <x:row r="9" ht="58" customHeight="1">
      <x:c r="A9" s="32" t="str">
        <x:v>Interpretation</x:v>
      </x:c>
      <x:c r="B9" s="37" t="str">
        <x:v>The analysis distinguishes labour-market pressure, employee development expectations, employer-reported concerns and career preferences. Findings are treated as signals for management discussion, not as a single causal model.</x:v>
      </x:c>
    </x:row>
    <x:row r="10" ht="58" customHeight="1">
      <x:c r="A10" s="32" t="str">
        <x:v>Calculated item</x:v>
      </x:c>
      <x:c r="B10" s="37" t="str">
        <x:v>The 14 percentage-point manager-support gap is a simple calculation: 50% wanting managers to teach/mentor minus 36% saying this actually happens, both from Deloitte Global 2025.</x:v>
      </x:c>
    </x:row>
  </x:sheetData>
  <x:mergeCells>
    <x:mergeCell ref="A1:F2"/>
  </x:mergeCells>
  <x:pageMargins left="0.7" right="0.7" top="0.75" bottom="0.75" header="0.3" footer="0.3"/>
</x:worksheet>
</file>